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L_BaiTap-DeTaiThucHanh_Nhom\Tuan4\diary\"/>
    </mc:Choice>
  </mc:AlternateContent>
  <xr:revisionPtr revIDLastSave="0" documentId="13_ncr:1_{0F33E6BD-DB23-491F-BF99-A855131A1750}" xr6:coauthVersionLast="47" xr6:coauthVersionMax="47" xr10:uidLastSave="{00000000-0000-0000-0000-000000000000}"/>
  <bookViews>
    <workbookView xWindow="-120" yWindow="-120" windowWidth="29040" windowHeight="15720" tabRatio="500" firstSheet="5" activeTab="9" xr2:uid="{00000000-000D-0000-FFFF-FFFF00000000}"/>
  </bookViews>
  <sheets>
    <sheet name="Baseline" sheetId="1" r:id="rId1"/>
    <sheet name="Ablation_and_Improvements" sheetId="2" r:id="rId2"/>
    <sheet name="Summary_Comparison" sheetId="3" r:id="rId3"/>
    <sheet name="Sklearn_vs_PyTorch" sheetId="4" r:id="rId4"/>
    <sheet name="Sklearn_Experiments" sheetId="5" r:id="rId5"/>
    <sheet name="B_Baseline" sheetId="6" r:id="rId6"/>
    <sheet name="B_Feature_Selection" sheetId="7" r:id="rId7"/>
    <sheet name="B_Tuning_and_CV" sheetId="8" r:id="rId8"/>
    <sheet name="PyTorch_MLP_Experiments" sheetId="9" r:id="rId9"/>
    <sheet name="Ablation_and_Insight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8" l="1"/>
  <c r="C14" i="8" s="1"/>
  <c r="E11" i="8"/>
  <c r="E10" i="8"/>
  <c r="E9" i="8"/>
  <c r="E8" i="8"/>
  <c r="E7" i="8"/>
  <c r="E6" i="8"/>
  <c r="E5" i="8"/>
  <c r="D12" i="7"/>
  <c r="D11" i="7"/>
  <c r="D10" i="7"/>
  <c r="D9" i="7"/>
  <c r="D8" i="7"/>
  <c r="D7" i="7"/>
  <c r="D6" i="7"/>
  <c r="D5" i="7"/>
  <c r="C13" i="6"/>
  <c r="C14" i="6" s="1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</calcChain>
</file>

<file path=xl/sharedStrings.xml><?xml version="1.0" encoding="utf-8"?>
<sst xmlns="http://schemas.openxmlformats.org/spreadsheetml/2006/main" count="287" uniqueCount="180">
  <si>
    <t>Group (Method)</t>
  </si>
  <si>
    <t>Model Name</t>
  </si>
  <si>
    <t>Val RMSE (Log)</t>
  </si>
  <si>
    <t>Val MAE ($)</t>
  </si>
  <si>
    <t>Val R2 Score</t>
  </si>
  <si>
    <t>Kaggle Score (RMSLE)</t>
  </si>
  <si>
    <t>Base</t>
  </si>
  <si>
    <t>Linear Regression</t>
  </si>
  <si>
    <t>Ridge Regression (alpha=10)</t>
  </si>
  <si>
    <t>Random Forest</t>
  </si>
  <si>
    <t>PyTorch MLP (Base)</t>
  </si>
  <si>
    <t>Category (Giai đoạn)</t>
  </si>
  <si>
    <t>Model / Method</t>
  </si>
  <si>
    <t>Feature Set</t>
  </si>
  <si>
    <t>1. Preprocessing</t>
  </si>
  <si>
    <t>Linear + Basic FillNA</t>
  </si>
  <si>
    <t>79 Raw Features</t>
  </si>
  <si>
    <t>Linear + Full Preprocessing</t>
  </si>
  <si>
    <t>LabelEnc + StandardScaler</t>
  </si>
  <si>
    <t>2. Feature Engineering</t>
  </si>
  <si>
    <t>XGBoost (Base)</t>
  </si>
  <si>
    <t>79 Features</t>
  </si>
  <si>
    <t>XGBoost + TotalSF &amp; TotalBath</t>
  </si>
  <si>
    <t>+ 2 features mới</t>
  </si>
  <si>
    <t>XGBoost + Full FE (V3)</t>
  </si>
  <si>
    <t>75 Features (V3)</t>
  </si>
  <si>
    <t>3. PyTorch MLP</t>
  </si>
  <si>
    <t>PyTorch MLP (Raw)</t>
  </si>
  <si>
    <t>PyTorch MLP + Scaled Data</t>
  </si>
  <si>
    <t>V2 (StandardScaler)</t>
  </si>
  <si>
    <t>PyTorch MLP + Deep Architecture</t>
  </si>
  <si>
    <t>3 Layers + Dropout(0.2)</t>
  </si>
  <si>
    <t>4. Ensemble</t>
  </si>
  <si>
    <t>Ensemble (XGBoost + PyTorch)</t>
  </si>
  <si>
    <t>70% XGB + 30% MLP</t>
  </si>
  <si>
    <t>NHẬT KÝ THỰC NGHIỆM ĐỒ ÁN DỰ ĐOÁN GIÁ NHÀ (AMES HOUSING) - LAB 03</t>
  </si>
  <si>
    <t>STT</t>
  </si>
  <si>
    <t>Nhánh phương pháp</t>
  </si>
  <si>
    <t>Tên mô hình / Cấu hình</t>
  </si>
  <si>
    <t>Số đặc trưng</t>
  </si>
  <si>
    <t>Val RMSE (log)</t>
  </si>
  <si>
    <t>Val R² Score</t>
  </si>
  <si>
    <t>CV 5-Fold RMSE</t>
  </si>
  <si>
    <t>Kaggle Score</t>
  </si>
  <si>
    <t>Scikit-Learn (Baseline)</t>
  </si>
  <si>
    <t>–</t>
  </si>
  <si>
    <t>Lasso Regression (alpha=0.001)</t>
  </si>
  <si>
    <t>ElasticNet (a=0.001, l1=0.5)</t>
  </si>
  <si>
    <t>Random Forest (300 cây)</t>
  </si>
  <si>
    <t>Gradient Boosting (500 cây)</t>
  </si>
  <si>
    <t>HistGradientBoosting (500 iter)</t>
  </si>
  <si>
    <t>Scikit-Learn (Tuned)</t>
  </si>
  <si>
    <t>Ridge Regression (alpha=300)</t>
  </si>
  <si>
    <t>ElasticNet (a=0.002, l1=0.8)</t>
  </si>
  <si>
    <t>Gradient Boosting (489 cây)</t>
  </si>
  <si>
    <t>HistGB (595 iter, depth=3)</t>
  </si>
  <si>
    <t>Scikit-Learn (Ensemble - B)</t>
  </si>
  <si>
    <t>Ensemble 4 mô hình (ENet/Ridge/GBR/HGB)</t>
  </si>
  <si>
    <t>PyTorch Deep Learning (C)</t>
  </si>
  <si>
    <t>PyTorch MLP (Raw / Chưa chuẩn hóa y)</t>
  </si>
  <si>
    <t>PyTorch MLP (Top 50 đặc trưng)</t>
  </si>
  <si>
    <t>PyTorch MLP Tối ưu (128-64-1 + Dropout)</t>
  </si>
  <si>
    <t>Nhóm phương pháp</t>
  </si>
  <si>
    <t>Tên mô hình / Phương pháp</t>
  </si>
  <si>
    <t>Val RMSE</t>
  </si>
  <si>
    <t>Val MAE</t>
  </si>
  <si>
    <t>Val R²</t>
  </si>
  <si>
    <t>CV 5-Fold Std</t>
  </si>
  <si>
    <t>Sklearn (Baseline)</t>
  </si>
  <si>
    <t>Lasso (alpha=0.001)</t>
  </si>
  <si>
    <t>Sklearn (Tuned)</t>
  </si>
  <si>
    <t>Ridge (alpha=300)</t>
  </si>
  <si>
    <t>HistGradientBoosting (595 iter)</t>
  </si>
  <si>
    <t>Sklearn (Ensemble)</t>
  </si>
  <si>
    <t>PyTorch MLP</t>
  </si>
  <si>
    <t>PyTorch MLP (128-64-1 + Dropout 0.2)</t>
  </si>
  <si>
    <t>BẢNG KẾT QUẢ THỰC NGHIỆM SCIKIT-LEARN (THÀNH VIÊN B - NGUYỄN ĐỨC TÀI)</t>
  </si>
  <si>
    <t>Phần 1: Baseline 7 mô hình Scikit-Learn (225 đặc trưng, Split 80/20, random_state=42)</t>
  </si>
  <si>
    <t>Mô hình</t>
  </si>
  <si>
    <t>Val MAE (log)</t>
  </si>
  <si>
    <t>Thời gian huấn luyện (s)</t>
  </si>
  <si>
    <t>Ridge (alpha=10)</t>
  </si>
  <si>
    <t>Gradient Boosting (500)</t>
  </si>
  <si>
    <t>HistGradientBoosting</t>
  </si>
  <si>
    <t>Random Forest (300)</t>
  </si>
  <si>
    <t>Phần 2: Tinh chỉnh siêu tham số (GridSearchCV / RandomizedSearchCV) &amp; Chọn mô hình bằng 5-Fold CV</t>
  </si>
  <si>
    <t>Siêu tham số tối ưu</t>
  </si>
  <si>
    <t>CV5 RMSE</t>
  </si>
  <si>
    <t>CV5 Độ lệch chuẩn (Std)</t>
  </si>
  <si>
    <t>Hạng CV5</t>
  </si>
  <si>
    <t>Trung bình đều (trọng số 0.25 mỗi mô hình)</t>
  </si>
  <si>
    <t>Ensemble 2 mô hình (0.5 ENet + 0.5 GBR)</t>
  </si>
  <si>
    <t>0.5 ElasticNet + 0.5 Gradient Boosting</t>
  </si>
  <si>
    <t>Gradient Boosting (tuned)</t>
  </si>
  <si>
    <t>n_est=489, lr=0.032, depth=4, leaf=8</t>
  </si>
  <si>
    <t>HistGB (tuned)</t>
  </si>
  <si>
    <t>max_iter=595, lr=0.021, depth=3, leaf=21</t>
  </si>
  <si>
    <t>Ridge (tuned)</t>
  </si>
  <si>
    <t>alpha=300</t>
  </si>
  <si>
    <t>ElasticNet (tuned)</t>
  </si>
  <si>
    <t>alpha=0.002, l1_ratio=0.8</t>
  </si>
  <si>
    <t>B1 - Baseline sklearn (225 dac trung)</t>
  </si>
  <si>
    <t>Model</t>
  </si>
  <si>
    <t>So dac trung</t>
  </si>
  <si>
    <t>Val R2</t>
  </si>
  <si>
    <t>Fit time (s)</t>
  </si>
  <si>
    <t>Hang (RMSE)</t>
  </si>
  <si>
    <t>Chenh lech vs tot nhat</t>
  </si>
  <si>
    <t>ElasticNet (a=0.001,l1=0.5)</t>
  </si>
  <si>
    <t>RMSE tot nhat</t>
  </si>
  <si>
    <t>Mo hinh tot nhat</t>
  </si>
  <si>
    <t>Kaggle Public score</t>
  </si>
  <si>
    <t>B2 - Chon dac trung Top-N</t>
  </si>
  <si>
    <t>So dac trung (Top-N theo GBR importance)</t>
  </si>
  <si>
    <t>Delta vs 225 (am = tot hon)</t>
  </si>
  <si>
    <t>B3 - Tuning (GridSearchCV / RandomizedSearchCV) va chon mo hinh cuoi</t>
  </si>
  <si>
    <t>CV5 RMSE (toan bo train)</t>
  </si>
  <si>
    <t>CV5 std</t>
  </si>
  <si>
    <t>Hang (CV5)</t>
  </si>
  <si>
    <t>Sieu tham so</t>
  </si>
  <si>
    <t>{'alpha': 0.002, 'l1_ratio': 0.8}</t>
  </si>
  <si>
    <t>Ensemble 0.5 ENet + 0.5 GBR</t>
  </si>
  <si>
    <t>Ensemble ENet/Ridge/GBR/HGB</t>
  </si>
  <si>
    <t>{'alpha': 300}</t>
  </si>
  <si>
    <t>Lasso (tuned)</t>
  </si>
  <si>
    <t>{'alpha': 0.005}</t>
  </si>
  <si>
    <t>CV5 tot nhat</t>
  </si>
  <si>
    <t>Mo hinh nop bai</t>
  </si>
  <si>
    <t>Phần 1: Cấu hình kiến trúc mạng PyTorch MLP và tham số huấn luyện</t>
  </si>
  <si>
    <t>Hạng mục</t>
  </si>
  <si>
    <t>Thông số thiết lập</t>
  </si>
  <si>
    <t>Môi trường thực thi</t>
  </si>
  <si>
    <t>PyTorch 2.10.0 + CUDA (GPU acceleration)</t>
  </si>
  <si>
    <t>Kiến trúc mạng</t>
  </si>
  <si>
    <t>Input(225) → Linear(128) + ReLU + Dropout(0.2) → Linear(64) + ReLU + Dropout(0.2) → Linear(1)</t>
  </si>
  <si>
    <t>Hàm mất mát (Loss)</t>
  </si>
  <si>
    <t>nn.MSELoss() trên không gian giá trị đã chuẩn hóa</t>
  </si>
  <si>
    <t>Thuật toán tối ưu</t>
  </si>
  <si>
    <t>torch.optim.Adam (Initial LR = 0.001, Weight Decay = 0.001)</t>
  </si>
  <si>
    <t>Bộ lập lịch học (Scheduler)</t>
  </si>
  <si>
    <t>ReduceLROnPlateau (factor=0.5, patience=8, min_lr=1e-5)</t>
  </si>
  <si>
    <t>Quản lý dữ liệu</t>
  </si>
  <si>
    <t>CustomDataset &amp; DataLoader (Train Batch = 32, Val Batch = 64)</t>
  </si>
  <si>
    <t>Phần 2: Nhật ký tiến trình huấn luyện qua các mốc Epoch (Trích xuất từ pytorch_mlp.ipynb)</t>
  </si>
  <si>
    <t>Epoch</t>
  </si>
  <si>
    <t>Train MSE Loss</t>
  </si>
  <si>
    <t>Validation RMSE</t>
  </si>
  <si>
    <t>Validation MAE</t>
  </si>
  <si>
    <t>Validation R²</t>
  </si>
  <si>
    <t>Learning Rate</t>
  </si>
  <si>
    <t>BẢNG PHÂN TÍCH ĐỐI CHỨNG (ABLATION STUDY) &amp; BÀI HỌC KINH NGHIỆM</t>
  </si>
  <si>
    <t>Phần 1: Thực nghiệm đối chứng số lượng đặc trưng (Feature Selection Ablation)</t>
  </si>
  <si>
    <t>225 đặc trưng (Toàn bộ)</t>
  </si>
  <si>
    <t>Top 100 đặc trưng</t>
  </si>
  <si>
    <t>Top 50 đặc trưng</t>
  </si>
  <si>
    <t>Top 30 đặc trưng</t>
  </si>
  <si>
    <t>Gradient Boosting (GBR)</t>
  </si>
  <si>
    <t>Ridge Regression</t>
  </si>
  <si>
    <t>PyTorch MLP (Deep Learning)</t>
  </si>
  <si>
    <t>Phần 2: Bảng phân tích so sánh bản chất Tree-based Models vs Deep Learning MLP</t>
  </si>
  <si>
    <t>Tiêu chí so sánh</t>
  </si>
  <si>
    <t>Scikit-Learn Ensemble (B)</t>
  </si>
  <si>
    <t>PyTorch MLP (C)</t>
  </si>
  <si>
    <t>Độ ổn định trên dữ liệu bảng (Tabular)</t>
  </si>
  <si>
    <t>Rất cao (CV5 std: 0.022 - 0.035)</t>
  </si>
  <si>
    <t>Trung bình (phụ thuộc khởi tạo ngẫu nhiên)</t>
  </si>
  <si>
    <t>Khả năng học quan hệ phi tuyến</t>
  </si>
  <si>
    <t>Xuất sắc thông qua phân vùng không gian cây</t>
  </si>
  <si>
    <t>Xuất sắc thông qua các tầng ReLU kết hợp</t>
  </si>
  <si>
    <t>Độ nhạy cảm với tiền xử lý</t>
  </si>
  <si>
    <t>Thấp (chấp nhận dữ liệu chưa scale chuẩn)</t>
  </si>
  <si>
    <t>RẤT CAO (Bắt buộc scale cả X và chuẩn hóa y)</t>
  </si>
  <si>
    <t>Thời gian huấn luyện</t>
  </si>
  <si>
    <t>GridSearch tốn ~10 - 20s</t>
  </si>
  <si>
    <t>120 Epochs tốn ~7.3s trên GPU</t>
  </si>
  <si>
    <t>Kết quả thực tế (Kaggle Public Score)</t>
  </si>
  <si>
    <t>0.12573 (Hạng cao)</t>
  </si>
  <si>
    <t>0.12845 (Ước tính cạnh tranh)</t>
  </si>
  <si>
    <t>Nguyễn Đức Tài</t>
  </si>
  <si>
    <t>NHẬT KÝ THỰC NGHIỆM DEEP LEARNING PYTORCH MLP Vũ Việt Hoàng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</si>
</sst>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30" customWidth="1"/>
    <col min="3" max="3" width="17" customWidth="1"/>
    <col min="4" max="4" width="14" customWidth="1"/>
    <col min="5" max="5" width="15" customWidth="1"/>
    <col min="6" max="6" width="23" customWidth="1"/>
    <col min="7" max="7" width="26.285156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4">
        <v>0.1852</v>
      </c>
      <c r="D2" s="5">
        <v>18250</v>
      </c>
      <c r="E2" s="4">
        <v>0.81200000000000006</v>
      </c>
      <c r="F2" s="4">
        <v>0.192</v>
      </c>
    </row>
    <row r="3" spans="1:6" x14ac:dyDescent="0.25">
      <c r="A3" s="3"/>
      <c r="B3" s="3" t="s">
        <v>8</v>
      </c>
      <c r="C3" s="4">
        <v>0.16239999999999999</v>
      </c>
      <c r="D3" s="5">
        <v>16100</v>
      </c>
      <c r="E3" s="4">
        <v>0.85119999999999996</v>
      </c>
      <c r="F3" s="4">
        <v>0.16850000000000001</v>
      </c>
    </row>
    <row r="4" spans="1:6" x14ac:dyDescent="0.25">
      <c r="A4" s="3"/>
      <c r="B4" s="3" t="s">
        <v>9</v>
      </c>
      <c r="C4" s="4">
        <v>0.14199999999999999</v>
      </c>
      <c r="D4" s="5">
        <v>14200</v>
      </c>
      <c r="E4" s="4">
        <v>0.88500000000000001</v>
      </c>
      <c r="F4" s="4">
        <v>0.14799999999999999</v>
      </c>
    </row>
    <row r="5" spans="1:6" x14ac:dyDescent="0.25">
      <c r="A5" s="3"/>
      <c r="B5" s="3" t="s">
        <v>10</v>
      </c>
      <c r="C5" s="4">
        <v>0.22409999999999999</v>
      </c>
      <c r="D5" s="5">
        <v>21500</v>
      </c>
      <c r="E5" s="4">
        <v>0.74099999999999999</v>
      </c>
      <c r="F5" s="4">
        <v>0.23100000000000001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5" customWidth="1"/>
    <col min="2" max="2" width="34" customWidth="1"/>
    <col min="3" max="3" width="28" customWidth="1"/>
    <col min="4" max="4" width="17" customWidth="1"/>
    <col min="5" max="5" width="14" customWidth="1"/>
    <col min="6" max="6" width="15" customWidth="1"/>
    <col min="7" max="7" width="23" customWidth="1"/>
  </cols>
  <sheetData>
    <row r="1" spans="1:7" x14ac:dyDescent="0.25">
      <c r="A1" s="1" t="s">
        <v>11</v>
      </c>
      <c r="B1" s="1" t="s">
        <v>12</v>
      </c>
      <c r="C1" s="2" t="s">
        <v>13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14</v>
      </c>
      <c r="B2" s="3" t="s">
        <v>15</v>
      </c>
      <c r="C2" s="6" t="s">
        <v>16</v>
      </c>
      <c r="D2" s="4">
        <v>0.158</v>
      </c>
      <c r="E2" s="5">
        <v>15400</v>
      </c>
      <c r="F2" s="4">
        <v>0.86099999999999999</v>
      </c>
      <c r="G2" s="4">
        <v>0.16120000000000001</v>
      </c>
    </row>
    <row r="3" spans="1:7" x14ac:dyDescent="0.25">
      <c r="A3" s="3"/>
      <c r="B3" s="3" t="s">
        <v>17</v>
      </c>
      <c r="C3" s="6" t="s">
        <v>18</v>
      </c>
      <c r="D3" s="4">
        <v>0.14499999999999999</v>
      </c>
      <c r="E3" s="5">
        <v>14500</v>
      </c>
      <c r="F3" s="4">
        <v>0.88100000000000001</v>
      </c>
      <c r="G3" s="4">
        <v>0.14949999999999999</v>
      </c>
    </row>
    <row r="4" spans="1:7" x14ac:dyDescent="0.25">
      <c r="A4" s="3" t="s">
        <v>19</v>
      </c>
      <c r="B4" s="3" t="s">
        <v>20</v>
      </c>
      <c r="C4" s="6" t="s">
        <v>21</v>
      </c>
      <c r="D4" s="4">
        <v>0.128</v>
      </c>
      <c r="E4" s="5">
        <v>12800</v>
      </c>
      <c r="F4" s="4">
        <v>0.90500000000000003</v>
      </c>
      <c r="G4" s="4">
        <v>0.13200000000000001</v>
      </c>
    </row>
    <row r="5" spans="1:7" x14ac:dyDescent="0.25">
      <c r="A5" s="3"/>
      <c r="B5" s="3" t="s">
        <v>22</v>
      </c>
      <c r="C5" s="6" t="s">
        <v>23</v>
      </c>
      <c r="D5" s="4">
        <v>0.1215</v>
      </c>
      <c r="E5" s="5">
        <v>12100</v>
      </c>
      <c r="F5" s="4">
        <v>0.91400000000000003</v>
      </c>
      <c r="G5" s="4">
        <v>0.125</v>
      </c>
    </row>
    <row r="6" spans="1:7" x14ac:dyDescent="0.25">
      <c r="A6" s="3"/>
      <c r="B6" s="3" t="s">
        <v>24</v>
      </c>
      <c r="C6" s="6" t="s">
        <v>25</v>
      </c>
      <c r="D6" s="4">
        <v>0.11650000000000001</v>
      </c>
      <c r="E6" s="5">
        <v>11500</v>
      </c>
      <c r="F6" s="4">
        <v>0.92200000000000004</v>
      </c>
      <c r="G6" s="4">
        <v>0.121</v>
      </c>
    </row>
    <row r="7" spans="1:7" x14ac:dyDescent="0.25">
      <c r="A7" s="3" t="s">
        <v>26</v>
      </c>
      <c r="B7" s="3" t="s">
        <v>27</v>
      </c>
      <c r="C7" s="6" t="s">
        <v>16</v>
      </c>
      <c r="D7" s="4">
        <v>0.22409999999999999</v>
      </c>
      <c r="E7" s="5">
        <v>21500</v>
      </c>
      <c r="F7" s="4">
        <v>0.74099999999999999</v>
      </c>
      <c r="G7" s="4">
        <v>0.23100000000000001</v>
      </c>
    </row>
    <row r="8" spans="1:7" x14ac:dyDescent="0.25">
      <c r="A8" s="3"/>
      <c r="B8" s="3" t="s">
        <v>28</v>
      </c>
      <c r="C8" s="6" t="s">
        <v>29</v>
      </c>
      <c r="D8" s="4">
        <v>0.14799999999999999</v>
      </c>
      <c r="E8" s="5">
        <v>14600</v>
      </c>
      <c r="F8" s="4">
        <v>0.875</v>
      </c>
      <c r="G8" s="4">
        <v>0.152</v>
      </c>
    </row>
    <row r="9" spans="1:7" x14ac:dyDescent="0.25">
      <c r="A9" s="3"/>
      <c r="B9" s="3" t="s">
        <v>30</v>
      </c>
      <c r="C9" s="6" t="s">
        <v>31</v>
      </c>
      <c r="D9" s="4">
        <v>0.13500000000000001</v>
      </c>
      <c r="E9" s="5">
        <v>13200</v>
      </c>
      <c r="F9" s="4">
        <v>0.89800000000000002</v>
      </c>
      <c r="G9" s="4">
        <v>0.13900000000000001</v>
      </c>
    </row>
    <row r="10" spans="1:7" x14ac:dyDescent="0.25">
      <c r="A10" s="3" t="s">
        <v>32</v>
      </c>
      <c r="B10" s="3" t="s">
        <v>33</v>
      </c>
      <c r="C10" s="6" t="s">
        <v>34</v>
      </c>
      <c r="D10" s="4">
        <v>0.112</v>
      </c>
      <c r="E10" s="5">
        <v>11100</v>
      </c>
      <c r="F10" s="4">
        <v>0.92800000000000005</v>
      </c>
      <c r="G10" s="4">
        <v>0.11799999999999999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30" customWidth="1"/>
    <col min="3" max="3" width="42" customWidth="1"/>
    <col min="4" max="4" width="15" customWidth="1"/>
    <col min="5" max="5" width="17" customWidth="1"/>
    <col min="6" max="6" width="15" customWidth="1"/>
    <col min="7" max="7" width="17" customWidth="1"/>
    <col min="8" max="8" width="15" customWidth="1"/>
  </cols>
  <sheetData>
    <row r="1" spans="1:8" x14ac:dyDescent="0.25">
      <c r="A1" s="7" t="s">
        <v>35</v>
      </c>
    </row>
    <row r="4" spans="1:8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</row>
    <row r="5" spans="1:8" x14ac:dyDescent="0.25">
      <c r="A5" s="6">
        <v>1</v>
      </c>
      <c r="B5" s="3" t="s">
        <v>44</v>
      </c>
      <c r="C5" s="3" t="s">
        <v>7</v>
      </c>
      <c r="D5" s="6">
        <v>225</v>
      </c>
      <c r="E5" s="4">
        <v>0.122</v>
      </c>
      <c r="F5" s="4">
        <v>0.92020000000000002</v>
      </c>
      <c r="G5" s="6" t="s">
        <v>45</v>
      </c>
      <c r="H5" s="6" t="s">
        <v>45</v>
      </c>
    </row>
    <row r="6" spans="1:8" x14ac:dyDescent="0.25">
      <c r="A6" s="6">
        <v>2</v>
      </c>
      <c r="B6" s="3" t="s">
        <v>44</v>
      </c>
      <c r="C6" s="3" t="s">
        <v>8</v>
      </c>
      <c r="D6" s="6">
        <v>225</v>
      </c>
      <c r="E6" s="4">
        <v>0.12180000000000001</v>
      </c>
      <c r="F6" s="4">
        <v>0.92049999999999998</v>
      </c>
      <c r="G6" s="6" t="s">
        <v>45</v>
      </c>
      <c r="H6" s="6" t="s">
        <v>45</v>
      </c>
    </row>
    <row r="7" spans="1:8" x14ac:dyDescent="0.25">
      <c r="A7" s="6">
        <v>3</v>
      </c>
      <c r="B7" s="3" t="s">
        <v>44</v>
      </c>
      <c r="C7" s="3" t="s">
        <v>46</v>
      </c>
      <c r="D7" s="6">
        <v>225</v>
      </c>
      <c r="E7" s="4">
        <v>0.11940000000000001</v>
      </c>
      <c r="F7" s="4">
        <v>0.92359999999999998</v>
      </c>
      <c r="G7" s="6" t="s">
        <v>45</v>
      </c>
      <c r="H7" s="6" t="s">
        <v>45</v>
      </c>
    </row>
    <row r="8" spans="1:8" x14ac:dyDescent="0.25">
      <c r="A8" s="6">
        <v>4</v>
      </c>
      <c r="B8" s="3" t="s">
        <v>44</v>
      </c>
      <c r="C8" s="3" t="s">
        <v>47</v>
      </c>
      <c r="D8" s="6">
        <v>225</v>
      </c>
      <c r="E8" s="4">
        <v>0.1206</v>
      </c>
      <c r="F8" s="4">
        <v>0.92200000000000004</v>
      </c>
      <c r="G8" s="6" t="s">
        <v>45</v>
      </c>
      <c r="H8" s="6" t="s">
        <v>45</v>
      </c>
    </row>
    <row r="9" spans="1:8" x14ac:dyDescent="0.25">
      <c r="A9" s="6">
        <v>5</v>
      </c>
      <c r="B9" s="3" t="s">
        <v>44</v>
      </c>
      <c r="C9" s="3" t="s">
        <v>48</v>
      </c>
      <c r="D9" s="6">
        <v>225</v>
      </c>
      <c r="E9" s="4">
        <v>0.14580000000000001</v>
      </c>
      <c r="F9" s="4">
        <v>0.8861</v>
      </c>
      <c r="G9" s="6" t="s">
        <v>45</v>
      </c>
      <c r="H9" s="6" t="s">
        <v>45</v>
      </c>
    </row>
    <row r="10" spans="1:8" x14ac:dyDescent="0.25">
      <c r="A10" s="6">
        <v>6</v>
      </c>
      <c r="B10" s="3" t="s">
        <v>44</v>
      </c>
      <c r="C10" s="3" t="s">
        <v>49</v>
      </c>
      <c r="D10" s="6">
        <v>225</v>
      </c>
      <c r="E10" s="4">
        <v>0.13950000000000001</v>
      </c>
      <c r="F10" s="4">
        <v>0.89570000000000005</v>
      </c>
      <c r="G10" s="6" t="s">
        <v>45</v>
      </c>
      <c r="H10" s="6" t="s">
        <v>45</v>
      </c>
    </row>
    <row r="11" spans="1:8" x14ac:dyDescent="0.25">
      <c r="A11" s="6">
        <v>7</v>
      </c>
      <c r="B11" s="3" t="s">
        <v>44</v>
      </c>
      <c r="C11" s="3" t="s">
        <v>50</v>
      </c>
      <c r="D11" s="6">
        <v>225</v>
      </c>
      <c r="E11" s="4">
        <v>0.14080000000000001</v>
      </c>
      <c r="F11" s="4">
        <v>0.89380000000000004</v>
      </c>
      <c r="G11" s="6" t="s">
        <v>45</v>
      </c>
      <c r="H11" s="6" t="s">
        <v>45</v>
      </c>
    </row>
    <row r="12" spans="1:8" x14ac:dyDescent="0.25">
      <c r="A12" s="6">
        <v>8</v>
      </c>
      <c r="B12" s="3" t="s">
        <v>51</v>
      </c>
      <c r="C12" s="3" t="s">
        <v>52</v>
      </c>
      <c r="D12" s="6">
        <v>225</v>
      </c>
      <c r="E12" s="4">
        <v>0.1245</v>
      </c>
      <c r="F12" s="4">
        <v>0.91700000000000004</v>
      </c>
      <c r="G12" s="4">
        <v>0.13869999999999999</v>
      </c>
      <c r="H12" s="6" t="s">
        <v>45</v>
      </c>
    </row>
    <row r="13" spans="1:8" x14ac:dyDescent="0.25">
      <c r="A13" s="6">
        <v>9</v>
      </c>
      <c r="B13" s="3" t="s">
        <v>51</v>
      </c>
      <c r="C13" s="3" t="s">
        <v>53</v>
      </c>
      <c r="D13" s="6">
        <v>225</v>
      </c>
      <c r="E13" s="4">
        <v>0.1193</v>
      </c>
      <c r="F13" s="4">
        <v>0.92379999999999995</v>
      </c>
      <c r="G13" s="4">
        <v>0.14119999999999999</v>
      </c>
      <c r="H13" s="6" t="s">
        <v>45</v>
      </c>
    </row>
    <row r="14" spans="1:8" x14ac:dyDescent="0.25">
      <c r="A14" s="6">
        <v>10</v>
      </c>
      <c r="B14" s="3" t="s">
        <v>51</v>
      </c>
      <c r="C14" s="3" t="s">
        <v>54</v>
      </c>
      <c r="D14" s="6">
        <v>225</v>
      </c>
      <c r="E14" s="4">
        <v>0.13650000000000001</v>
      </c>
      <c r="F14" s="4">
        <v>0.9002</v>
      </c>
      <c r="G14" s="4">
        <v>0.12690000000000001</v>
      </c>
      <c r="H14" s="6" t="s">
        <v>45</v>
      </c>
    </row>
    <row r="15" spans="1:8" x14ac:dyDescent="0.25">
      <c r="A15" s="6">
        <v>11</v>
      </c>
      <c r="B15" s="3" t="s">
        <v>51</v>
      </c>
      <c r="C15" s="3" t="s">
        <v>55</v>
      </c>
      <c r="D15" s="6">
        <v>225</v>
      </c>
      <c r="E15" s="4">
        <v>0.14050000000000001</v>
      </c>
      <c r="F15" s="4">
        <v>0.89419999999999999</v>
      </c>
      <c r="G15" s="4">
        <v>0.12989999999999999</v>
      </c>
      <c r="H15" s="6" t="s">
        <v>45</v>
      </c>
    </row>
    <row r="16" spans="1:8" x14ac:dyDescent="0.25">
      <c r="A16" s="6">
        <v>12</v>
      </c>
      <c r="B16" s="3" t="s">
        <v>56</v>
      </c>
      <c r="C16" s="3" t="s">
        <v>57</v>
      </c>
      <c r="D16" s="6">
        <v>225</v>
      </c>
      <c r="E16" s="4">
        <v>0.1244</v>
      </c>
      <c r="F16" s="4">
        <v>0.91710000000000003</v>
      </c>
      <c r="G16" s="4">
        <v>0.12590000000000001</v>
      </c>
      <c r="H16" s="8">
        <v>0.12573000000000001</v>
      </c>
    </row>
    <row r="17" spans="1:8" x14ac:dyDescent="0.25">
      <c r="A17" s="6">
        <v>13</v>
      </c>
      <c r="B17" s="3" t="s">
        <v>58</v>
      </c>
      <c r="C17" s="3" t="s">
        <v>59</v>
      </c>
      <c r="D17" s="6">
        <v>225</v>
      </c>
      <c r="E17" s="4">
        <v>0.2732</v>
      </c>
      <c r="F17" s="4">
        <v>0.60150000000000003</v>
      </c>
      <c r="G17" s="6" t="s">
        <v>45</v>
      </c>
      <c r="H17" s="4">
        <v>0.23100000000000001</v>
      </c>
    </row>
    <row r="18" spans="1:8" x14ac:dyDescent="0.25">
      <c r="A18" s="6">
        <v>14</v>
      </c>
      <c r="B18" s="3" t="s">
        <v>58</v>
      </c>
      <c r="C18" s="3" t="s">
        <v>60</v>
      </c>
      <c r="D18" s="6">
        <v>50</v>
      </c>
      <c r="E18" s="4">
        <v>0.35880000000000001</v>
      </c>
      <c r="F18" s="4">
        <v>0.45200000000000001</v>
      </c>
      <c r="G18" s="6" t="s">
        <v>45</v>
      </c>
      <c r="H18" s="6" t="s">
        <v>45</v>
      </c>
    </row>
    <row r="19" spans="1:8" x14ac:dyDescent="0.25">
      <c r="A19" s="6">
        <v>15</v>
      </c>
      <c r="B19" s="3" t="s">
        <v>58</v>
      </c>
      <c r="C19" s="3" t="s">
        <v>61</v>
      </c>
      <c r="D19" s="6">
        <v>225</v>
      </c>
      <c r="E19" s="4">
        <v>0.12520000000000001</v>
      </c>
      <c r="F19" s="4">
        <v>0.9123</v>
      </c>
      <c r="G19" s="4">
        <v>0.13120000000000001</v>
      </c>
      <c r="H19" s="8">
        <v>0.12845000000000001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42" customWidth="1"/>
    <col min="3" max="5" width="12" customWidth="1"/>
    <col min="6" max="6" width="16" customWidth="1"/>
    <col min="7" max="8" width="14" customWidth="1"/>
  </cols>
  <sheetData>
    <row r="1" spans="1:8" x14ac:dyDescent="0.25">
      <c r="A1" s="1" t="s">
        <v>62</v>
      </c>
      <c r="B1" s="1" t="s">
        <v>63</v>
      </c>
      <c r="C1" s="2" t="s">
        <v>64</v>
      </c>
      <c r="D1" s="2" t="s">
        <v>65</v>
      </c>
      <c r="E1" s="2" t="s">
        <v>66</v>
      </c>
      <c r="F1" s="2" t="s">
        <v>42</v>
      </c>
      <c r="G1" s="2" t="s">
        <v>67</v>
      </c>
      <c r="H1" s="2" t="s">
        <v>43</v>
      </c>
    </row>
    <row r="2" spans="1:8" x14ac:dyDescent="0.25">
      <c r="A2" s="3" t="s">
        <v>68</v>
      </c>
      <c r="B2" s="3" t="s">
        <v>7</v>
      </c>
      <c r="C2" s="4">
        <v>0.122</v>
      </c>
      <c r="D2" s="4">
        <v>8.6599999999999996E-2</v>
      </c>
      <c r="E2" s="4">
        <v>0.92020000000000002</v>
      </c>
      <c r="F2" s="4" t="s">
        <v>45</v>
      </c>
      <c r="G2" s="9" t="s">
        <v>45</v>
      </c>
      <c r="H2" s="8" t="s">
        <v>45</v>
      </c>
    </row>
    <row r="3" spans="1:8" x14ac:dyDescent="0.25">
      <c r="A3" s="3" t="s">
        <v>68</v>
      </c>
      <c r="B3" s="3" t="s">
        <v>8</v>
      </c>
      <c r="C3" s="4">
        <v>0.12180000000000001</v>
      </c>
      <c r="D3" s="4">
        <v>8.6400000000000005E-2</v>
      </c>
      <c r="E3" s="4">
        <v>0.92049999999999998</v>
      </c>
      <c r="F3" s="4" t="s">
        <v>45</v>
      </c>
      <c r="G3" s="9" t="s">
        <v>45</v>
      </c>
      <c r="H3" s="8" t="s">
        <v>45</v>
      </c>
    </row>
    <row r="4" spans="1:8" x14ac:dyDescent="0.25">
      <c r="A4" s="3" t="s">
        <v>68</v>
      </c>
      <c r="B4" s="3" t="s">
        <v>69</v>
      </c>
      <c r="C4" s="4">
        <v>0.11940000000000001</v>
      </c>
      <c r="D4" s="4">
        <v>8.4099999999999994E-2</v>
      </c>
      <c r="E4" s="4">
        <v>0.92359999999999998</v>
      </c>
      <c r="F4" s="4" t="s">
        <v>45</v>
      </c>
      <c r="G4" s="9" t="s">
        <v>45</v>
      </c>
      <c r="H4" s="8" t="s">
        <v>45</v>
      </c>
    </row>
    <row r="5" spans="1:8" x14ac:dyDescent="0.25">
      <c r="A5" s="3" t="s">
        <v>68</v>
      </c>
      <c r="B5" s="3" t="s">
        <v>48</v>
      </c>
      <c r="C5" s="4">
        <v>0.14580000000000001</v>
      </c>
      <c r="D5" s="4">
        <v>9.4399999999999998E-2</v>
      </c>
      <c r="E5" s="4">
        <v>0.8861</v>
      </c>
      <c r="F5" s="4" t="s">
        <v>45</v>
      </c>
      <c r="G5" s="9" t="s">
        <v>45</v>
      </c>
      <c r="H5" s="8" t="s">
        <v>45</v>
      </c>
    </row>
    <row r="6" spans="1:8" x14ac:dyDescent="0.25">
      <c r="A6" s="3" t="s">
        <v>68</v>
      </c>
      <c r="B6" s="3" t="s">
        <v>49</v>
      </c>
      <c r="C6" s="4">
        <v>0.13950000000000001</v>
      </c>
      <c r="D6" s="4">
        <v>9.1300000000000006E-2</v>
      </c>
      <c r="E6" s="4">
        <v>0.89570000000000005</v>
      </c>
      <c r="F6" s="4" t="s">
        <v>45</v>
      </c>
      <c r="G6" s="9" t="s">
        <v>45</v>
      </c>
      <c r="H6" s="8" t="s">
        <v>45</v>
      </c>
    </row>
    <row r="7" spans="1:8" x14ac:dyDescent="0.25">
      <c r="A7" s="3" t="s">
        <v>70</v>
      </c>
      <c r="B7" s="3" t="s">
        <v>71</v>
      </c>
      <c r="C7" s="4">
        <v>0.1245</v>
      </c>
      <c r="D7" s="4">
        <v>8.7499999999999994E-2</v>
      </c>
      <c r="E7" s="4">
        <v>0.91700000000000004</v>
      </c>
      <c r="F7" s="4">
        <v>0.13869999999999999</v>
      </c>
      <c r="G7" s="9">
        <v>4.2999999999999997E-2</v>
      </c>
      <c r="H7" s="8" t="s">
        <v>45</v>
      </c>
    </row>
    <row r="8" spans="1:8" x14ac:dyDescent="0.25">
      <c r="A8" s="3" t="s">
        <v>70</v>
      </c>
      <c r="B8" s="3" t="s">
        <v>53</v>
      </c>
      <c r="C8" s="4">
        <v>0.1193</v>
      </c>
      <c r="D8" s="4">
        <v>8.4000000000000005E-2</v>
      </c>
      <c r="E8" s="4">
        <v>0.92379999999999995</v>
      </c>
      <c r="F8" s="4">
        <v>0.14119999999999999</v>
      </c>
      <c r="G8" s="9">
        <v>0.05</v>
      </c>
      <c r="H8" s="8" t="s">
        <v>45</v>
      </c>
    </row>
    <row r="9" spans="1:8" x14ac:dyDescent="0.25">
      <c r="A9" s="3" t="s">
        <v>70</v>
      </c>
      <c r="B9" s="3" t="s">
        <v>54</v>
      </c>
      <c r="C9" s="4">
        <v>0.13650000000000001</v>
      </c>
      <c r="D9" s="4">
        <v>8.9800000000000005E-2</v>
      </c>
      <c r="E9" s="4">
        <v>0.9002</v>
      </c>
      <c r="F9" s="4">
        <v>0.12690000000000001</v>
      </c>
      <c r="G9" s="9">
        <v>2.4E-2</v>
      </c>
      <c r="H9" s="8" t="s">
        <v>45</v>
      </c>
    </row>
    <row r="10" spans="1:8" x14ac:dyDescent="0.25">
      <c r="A10" s="3" t="s">
        <v>70</v>
      </c>
      <c r="B10" s="3" t="s">
        <v>72</v>
      </c>
      <c r="C10" s="4">
        <v>0.14050000000000001</v>
      </c>
      <c r="D10" s="4">
        <v>9.1200000000000003E-2</v>
      </c>
      <c r="E10" s="4">
        <v>0.89419999999999999</v>
      </c>
      <c r="F10" s="4">
        <v>0.12989999999999999</v>
      </c>
      <c r="G10" s="9">
        <v>2.1999999999999999E-2</v>
      </c>
      <c r="H10" s="8" t="s">
        <v>45</v>
      </c>
    </row>
    <row r="11" spans="1:8" x14ac:dyDescent="0.25">
      <c r="A11" s="3" t="s">
        <v>73</v>
      </c>
      <c r="B11" s="3" t="s">
        <v>57</v>
      </c>
      <c r="C11" s="4">
        <v>0.1244</v>
      </c>
      <c r="D11" s="4">
        <v>8.6499999999999994E-2</v>
      </c>
      <c r="E11" s="4">
        <v>0.91710000000000003</v>
      </c>
      <c r="F11" s="4">
        <v>0.12590000000000001</v>
      </c>
      <c r="G11" s="9">
        <v>3.5000000000000003E-2</v>
      </c>
      <c r="H11" s="8">
        <v>0.12573000000000001</v>
      </c>
    </row>
    <row r="12" spans="1:8" x14ac:dyDescent="0.25">
      <c r="A12" s="3" t="s">
        <v>74</v>
      </c>
      <c r="B12" s="3" t="s">
        <v>75</v>
      </c>
      <c r="C12" s="4">
        <v>0.12520000000000001</v>
      </c>
      <c r="D12" s="4">
        <v>9.0200000000000002E-2</v>
      </c>
      <c r="E12" s="4">
        <v>0.9123</v>
      </c>
      <c r="F12" s="4">
        <v>0.13120000000000001</v>
      </c>
      <c r="G12" s="9">
        <v>3.7999999999999999E-2</v>
      </c>
      <c r="H12" s="8">
        <v>0.12845000000000001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zoomScaleNormal="100" workbookViewId="0">
      <selection activeCell="B1" sqref="B1"/>
    </sheetView>
  </sheetViews>
  <sheetFormatPr defaultColWidth="8.7109375" defaultRowHeight="15" x14ac:dyDescent="0.25"/>
  <cols>
    <col min="1" max="1" width="42" customWidth="1"/>
    <col min="2" max="2" width="45" customWidth="1"/>
    <col min="3" max="3" width="17" customWidth="1"/>
    <col min="4" max="4" width="16" customWidth="1"/>
    <col min="5" max="5" width="26" customWidth="1"/>
    <col min="6" max="6" width="27" customWidth="1"/>
  </cols>
  <sheetData>
    <row r="1" spans="1:6" x14ac:dyDescent="0.25">
      <c r="A1" s="7" t="s">
        <v>76</v>
      </c>
      <c r="B1" s="16" t="s">
        <v>178</v>
      </c>
    </row>
    <row r="3" spans="1:6" x14ac:dyDescent="0.25">
      <c r="A3" s="7" t="s">
        <v>77</v>
      </c>
    </row>
    <row r="4" spans="1:6" x14ac:dyDescent="0.25">
      <c r="A4" s="2" t="s">
        <v>78</v>
      </c>
      <c r="B4" s="2" t="s">
        <v>39</v>
      </c>
      <c r="C4" s="2" t="s">
        <v>40</v>
      </c>
      <c r="D4" s="2" t="s">
        <v>79</v>
      </c>
      <c r="E4" s="2" t="s">
        <v>41</v>
      </c>
      <c r="F4" s="2" t="s">
        <v>80</v>
      </c>
    </row>
    <row r="5" spans="1:6" x14ac:dyDescent="0.25">
      <c r="A5" s="3" t="s">
        <v>69</v>
      </c>
      <c r="B5" s="6">
        <v>225</v>
      </c>
      <c r="C5" s="4">
        <v>0.11940000000000001</v>
      </c>
      <c r="D5" s="4">
        <v>8.4099999999999994E-2</v>
      </c>
      <c r="E5" s="4">
        <v>0.92359999999999998</v>
      </c>
      <c r="F5" s="10">
        <v>0.05</v>
      </c>
    </row>
    <row r="6" spans="1:6" x14ac:dyDescent="0.25">
      <c r="A6" s="3" t="s">
        <v>47</v>
      </c>
      <c r="B6" s="6">
        <v>225</v>
      </c>
      <c r="C6" s="4">
        <v>0.1206</v>
      </c>
      <c r="D6" s="4">
        <v>8.5300000000000001E-2</v>
      </c>
      <c r="E6" s="4">
        <v>0.92200000000000004</v>
      </c>
      <c r="F6" s="10">
        <v>7.0000000000000007E-2</v>
      </c>
    </row>
    <row r="7" spans="1:6" x14ac:dyDescent="0.25">
      <c r="A7" s="3" t="s">
        <v>81</v>
      </c>
      <c r="B7" s="6">
        <v>225</v>
      </c>
      <c r="C7" s="4">
        <v>0.12180000000000001</v>
      </c>
      <c r="D7" s="4">
        <v>8.6400000000000005E-2</v>
      </c>
      <c r="E7" s="4">
        <v>0.92049999999999998</v>
      </c>
      <c r="F7" s="10">
        <v>0.01</v>
      </c>
    </row>
    <row r="8" spans="1:6" x14ac:dyDescent="0.25">
      <c r="A8" s="3" t="s">
        <v>7</v>
      </c>
      <c r="B8" s="6">
        <v>225</v>
      </c>
      <c r="C8" s="4">
        <v>0.122</v>
      </c>
      <c r="D8" s="4">
        <v>8.6599999999999996E-2</v>
      </c>
      <c r="E8" s="4">
        <v>0.92020000000000002</v>
      </c>
      <c r="F8" s="10">
        <v>0.03</v>
      </c>
    </row>
    <row r="9" spans="1:6" x14ac:dyDescent="0.25">
      <c r="A9" s="3" t="s">
        <v>82</v>
      </c>
      <c r="B9" s="6">
        <v>225</v>
      </c>
      <c r="C9" s="4">
        <v>0.13950000000000001</v>
      </c>
      <c r="D9" s="4">
        <v>9.1300000000000006E-2</v>
      </c>
      <c r="E9" s="4">
        <v>0.89570000000000005</v>
      </c>
      <c r="F9" s="10">
        <v>3.99</v>
      </c>
    </row>
    <row r="10" spans="1:6" x14ac:dyDescent="0.25">
      <c r="A10" s="3" t="s">
        <v>83</v>
      </c>
      <c r="B10" s="6">
        <v>225</v>
      </c>
      <c r="C10" s="4">
        <v>0.14080000000000001</v>
      </c>
      <c r="D10" s="4">
        <v>9.2100000000000001E-2</v>
      </c>
      <c r="E10" s="4">
        <v>0.89380000000000004</v>
      </c>
      <c r="F10" s="10">
        <v>1.35</v>
      </c>
    </row>
    <row r="11" spans="1:6" x14ac:dyDescent="0.25">
      <c r="A11" s="3" t="s">
        <v>84</v>
      </c>
      <c r="B11" s="6">
        <v>225</v>
      </c>
      <c r="C11" s="4">
        <v>0.14580000000000001</v>
      </c>
      <c r="D11" s="4">
        <v>9.4399999999999998E-2</v>
      </c>
      <c r="E11" s="4">
        <v>0.8861</v>
      </c>
      <c r="F11" s="10">
        <v>2.37</v>
      </c>
    </row>
    <row r="14" spans="1:6" x14ac:dyDescent="0.25">
      <c r="A14" s="7" t="s">
        <v>85</v>
      </c>
    </row>
    <row r="15" spans="1:6" x14ac:dyDescent="0.25">
      <c r="A15" s="2" t="s">
        <v>78</v>
      </c>
      <c r="B15" s="2" t="s">
        <v>86</v>
      </c>
      <c r="C15" s="2" t="s">
        <v>64</v>
      </c>
      <c r="D15" s="2" t="s">
        <v>87</v>
      </c>
      <c r="E15" s="2" t="s">
        <v>88</v>
      </c>
      <c r="F15" s="2" t="s">
        <v>89</v>
      </c>
    </row>
    <row r="16" spans="1:6" x14ac:dyDescent="0.25">
      <c r="A16" s="3" t="s">
        <v>57</v>
      </c>
      <c r="B16" s="3" t="s">
        <v>90</v>
      </c>
      <c r="C16" s="4">
        <v>0.1244</v>
      </c>
      <c r="D16" s="4">
        <v>0.12590000000000001</v>
      </c>
      <c r="E16" s="4">
        <v>3.4799999999999998E-2</v>
      </c>
      <c r="F16" s="6">
        <v>1</v>
      </c>
    </row>
    <row r="17" spans="1:6" x14ac:dyDescent="0.25">
      <c r="A17" s="3" t="s">
        <v>91</v>
      </c>
      <c r="B17" s="3" t="s">
        <v>92</v>
      </c>
      <c r="C17" s="4">
        <v>0.1231</v>
      </c>
      <c r="D17" s="4">
        <v>0.12670000000000001</v>
      </c>
      <c r="E17" s="4">
        <v>3.6799999999999999E-2</v>
      </c>
      <c r="F17" s="6">
        <v>2</v>
      </c>
    </row>
    <row r="18" spans="1:6" x14ac:dyDescent="0.25">
      <c r="A18" s="3" t="s">
        <v>93</v>
      </c>
      <c r="B18" s="3" t="s">
        <v>94</v>
      </c>
      <c r="C18" s="4">
        <v>0.13650000000000001</v>
      </c>
      <c r="D18" s="4">
        <v>0.12690000000000001</v>
      </c>
      <c r="E18" s="4">
        <v>2.41E-2</v>
      </c>
      <c r="F18" s="6">
        <v>3</v>
      </c>
    </row>
    <row r="19" spans="1:6" x14ac:dyDescent="0.25">
      <c r="A19" s="3" t="s">
        <v>95</v>
      </c>
      <c r="B19" s="3" t="s">
        <v>96</v>
      </c>
      <c r="C19" s="4">
        <v>0.14050000000000001</v>
      </c>
      <c r="D19" s="4">
        <v>0.12989999999999999</v>
      </c>
      <c r="E19" s="4">
        <v>2.1999999999999999E-2</v>
      </c>
      <c r="F19" s="6">
        <v>4</v>
      </c>
    </row>
    <row r="20" spans="1:6" x14ac:dyDescent="0.25">
      <c r="A20" s="3" t="s">
        <v>97</v>
      </c>
      <c r="B20" s="3" t="s">
        <v>98</v>
      </c>
      <c r="C20" s="4">
        <v>0.1245</v>
      </c>
      <c r="D20" s="4">
        <v>0.13869999999999999</v>
      </c>
      <c r="E20" s="4">
        <v>4.3400000000000001E-2</v>
      </c>
      <c r="F20" s="6">
        <v>5</v>
      </c>
    </row>
    <row r="21" spans="1:6" x14ac:dyDescent="0.25">
      <c r="A21" s="3" t="s">
        <v>99</v>
      </c>
      <c r="B21" s="3" t="s">
        <v>100</v>
      </c>
      <c r="C21" s="4">
        <v>0.1193</v>
      </c>
      <c r="D21" s="4">
        <v>0.14119999999999999</v>
      </c>
      <c r="E21" s="4">
        <v>5.0099999999999999E-2</v>
      </c>
      <c r="F21" s="6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15" customWidth="1"/>
    <col min="3" max="3" width="20" customWidth="1"/>
    <col min="4" max="4" width="21" customWidth="1"/>
    <col min="5" max="5" width="20" customWidth="1"/>
    <col min="6" max="6" width="15" customWidth="1"/>
    <col min="7" max="7" width="14" customWidth="1"/>
    <col min="8" max="8" width="25" customWidth="1"/>
  </cols>
  <sheetData>
    <row r="1" spans="1:8" x14ac:dyDescent="0.25">
      <c r="A1" s="7" t="s">
        <v>101</v>
      </c>
    </row>
    <row r="4" spans="1:8" x14ac:dyDescent="0.25">
      <c r="A4" s="2" t="s">
        <v>102</v>
      </c>
      <c r="B4" s="2" t="s">
        <v>103</v>
      </c>
      <c r="C4" s="2" t="s">
        <v>40</v>
      </c>
      <c r="D4" s="2" t="s">
        <v>79</v>
      </c>
      <c r="E4" s="2" t="s">
        <v>104</v>
      </c>
      <c r="F4" s="11" t="s">
        <v>105</v>
      </c>
      <c r="G4" s="12" t="s">
        <v>106</v>
      </c>
      <c r="H4" s="13" t="s">
        <v>107</v>
      </c>
    </row>
    <row r="5" spans="1:8" x14ac:dyDescent="0.25">
      <c r="A5" s="3" t="s">
        <v>69</v>
      </c>
      <c r="B5" s="6">
        <v>225</v>
      </c>
      <c r="C5" s="4">
        <v>0.119428333866322</v>
      </c>
      <c r="D5" s="4">
        <v>8.4101595793345002E-2</v>
      </c>
      <c r="E5" s="4">
        <v>0.92356759353814399</v>
      </c>
      <c r="F5" s="10">
        <v>0.05</v>
      </c>
      <c r="G5" s="14">
        <f t="shared" ref="G5:G11" si="0">RANK(C5,C$5:C$11,1)</f>
        <v>1</v>
      </c>
      <c r="H5" s="4">
        <f t="shared" ref="H5:H11" si="1">C5-MIN(C$5:C$11)</f>
        <v>0</v>
      </c>
    </row>
    <row r="6" spans="1:8" x14ac:dyDescent="0.25">
      <c r="A6" s="3" t="s">
        <v>108</v>
      </c>
      <c r="B6" s="6">
        <v>225</v>
      </c>
      <c r="C6" s="4">
        <v>0.12061710038670399</v>
      </c>
      <c r="D6" s="4">
        <v>8.5257018611800003E-2</v>
      </c>
      <c r="E6" s="4">
        <v>0.92203843398667196</v>
      </c>
      <c r="F6" s="10">
        <v>7.0000000000000007E-2</v>
      </c>
      <c r="G6" s="14">
        <f t="shared" si="0"/>
        <v>2</v>
      </c>
      <c r="H6" s="4">
        <f t="shared" si="1"/>
        <v>1.1887665203819953E-3</v>
      </c>
    </row>
    <row r="7" spans="1:8" x14ac:dyDescent="0.25">
      <c r="A7" s="3" t="s">
        <v>81</v>
      </c>
      <c r="B7" s="6">
        <v>225</v>
      </c>
      <c r="C7" s="4">
        <v>0.121775628035108</v>
      </c>
      <c r="D7" s="4">
        <v>8.63748494914401E-2</v>
      </c>
      <c r="E7" s="4">
        <v>0.92053359935837797</v>
      </c>
      <c r="F7" s="10">
        <v>0.01</v>
      </c>
      <c r="G7" s="14">
        <f t="shared" si="0"/>
        <v>3</v>
      </c>
      <c r="H7" s="4">
        <f t="shared" si="1"/>
        <v>2.3472941687859988E-3</v>
      </c>
    </row>
    <row r="8" spans="1:8" x14ac:dyDescent="0.25">
      <c r="A8" s="3" t="s">
        <v>7</v>
      </c>
      <c r="B8" s="6">
        <v>225</v>
      </c>
      <c r="C8" s="4">
        <v>0.12203941886528</v>
      </c>
      <c r="D8" s="4">
        <v>8.6592278909389406E-2</v>
      </c>
      <c r="E8" s="4">
        <v>0.92018894562648201</v>
      </c>
      <c r="F8" s="10">
        <v>0.03</v>
      </c>
      <c r="G8" s="14">
        <f t="shared" si="0"/>
        <v>4</v>
      </c>
      <c r="H8" s="4">
        <f t="shared" si="1"/>
        <v>2.6110849989579993E-3</v>
      </c>
    </row>
    <row r="9" spans="1:8" x14ac:dyDescent="0.25">
      <c r="A9" s="3" t="s">
        <v>82</v>
      </c>
      <c r="B9" s="6">
        <v>225</v>
      </c>
      <c r="C9" s="4">
        <v>0.13952780438205101</v>
      </c>
      <c r="D9" s="4">
        <v>9.1298739060499207E-2</v>
      </c>
      <c r="E9" s="4">
        <v>0.89567598166177798</v>
      </c>
      <c r="F9" s="10">
        <v>3.99</v>
      </c>
      <c r="G9" s="14">
        <f t="shared" si="0"/>
        <v>5</v>
      </c>
      <c r="H9" s="4">
        <f t="shared" si="1"/>
        <v>2.0099470515729009E-2</v>
      </c>
    </row>
    <row r="10" spans="1:8" x14ac:dyDescent="0.25">
      <c r="A10" s="3" t="s">
        <v>83</v>
      </c>
      <c r="B10" s="6">
        <v>225</v>
      </c>
      <c r="C10" s="4">
        <v>0.14080260886208601</v>
      </c>
      <c r="D10" s="4">
        <v>9.2060017643049094E-2</v>
      </c>
      <c r="E10" s="4">
        <v>0.89376094723965804</v>
      </c>
      <c r="F10" s="10">
        <v>1.35</v>
      </c>
      <c r="G10" s="14">
        <f t="shared" si="0"/>
        <v>6</v>
      </c>
      <c r="H10" s="4">
        <f t="shared" si="1"/>
        <v>2.1374274995764012E-2</v>
      </c>
    </row>
    <row r="11" spans="1:8" x14ac:dyDescent="0.25">
      <c r="A11" s="3" t="s">
        <v>84</v>
      </c>
      <c r="B11" s="6">
        <v>225</v>
      </c>
      <c r="C11" s="4">
        <v>0.145789425402159</v>
      </c>
      <c r="D11" s="4">
        <v>9.43816557925726E-2</v>
      </c>
      <c r="E11" s="4">
        <v>0.88610233127321403</v>
      </c>
      <c r="F11" s="10">
        <v>2.37</v>
      </c>
      <c r="G11" s="14">
        <f t="shared" si="0"/>
        <v>7</v>
      </c>
      <c r="H11" s="4">
        <f t="shared" si="1"/>
        <v>2.6361091535837003E-2</v>
      </c>
    </row>
    <row r="13" spans="1:8" x14ac:dyDescent="0.25">
      <c r="A13" s="3" t="s">
        <v>109</v>
      </c>
      <c r="C13" s="4">
        <f>MIN(C5:C11)</f>
        <v>0.119428333866322</v>
      </c>
    </row>
    <row r="14" spans="1:8" x14ac:dyDescent="0.25">
      <c r="A14" s="3" t="s">
        <v>110</v>
      </c>
      <c r="C14" s="4" t="str">
        <f>INDEX(A5:A11,MATCH(C13,C5:C11,0))</f>
        <v>Lasso (alpha=0.001)</v>
      </c>
    </row>
    <row r="15" spans="1:8" x14ac:dyDescent="0.25">
      <c r="A15" s="3" t="s">
        <v>111</v>
      </c>
      <c r="C15" s="8">
        <v>0.12573000000000001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43" customWidth="1"/>
    <col min="3" max="3" width="20" customWidth="1"/>
    <col min="4" max="4" width="30" customWidth="1"/>
  </cols>
  <sheetData>
    <row r="1" spans="1:4" x14ac:dyDescent="0.25">
      <c r="A1" s="7" t="s">
        <v>112</v>
      </c>
    </row>
    <row r="4" spans="1:4" x14ac:dyDescent="0.25">
      <c r="A4" s="2" t="s">
        <v>102</v>
      </c>
      <c r="B4" s="2" t="s">
        <v>113</v>
      </c>
      <c r="C4" s="2" t="s">
        <v>40</v>
      </c>
      <c r="D4" s="2" t="s">
        <v>114</v>
      </c>
    </row>
    <row r="5" spans="1:4" x14ac:dyDescent="0.25">
      <c r="A5" s="3" t="s">
        <v>82</v>
      </c>
      <c r="B5" s="6">
        <v>225</v>
      </c>
      <c r="C5" s="4">
        <v>0.13952780438205101</v>
      </c>
      <c r="D5" s="4">
        <f>C5-C5</f>
        <v>0</v>
      </c>
    </row>
    <row r="6" spans="1:4" x14ac:dyDescent="0.25">
      <c r="A6" s="3" t="s">
        <v>82</v>
      </c>
      <c r="B6" s="6">
        <v>100</v>
      </c>
      <c r="C6" s="4">
        <v>0.13862076400036299</v>
      </c>
      <c r="D6" s="4">
        <f>C6-C5</f>
        <v>-9.0704038168801238E-4</v>
      </c>
    </row>
    <row r="7" spans="1:4" x14ac:dyDescent="0.25">
      <c r="A7" s="3" t="s">
        <v>82</v>
      </c>
      <c r="B7" s="6">
        <v>50</v>
      </c>
      <c r="C7" s="4">
        <v>0.139999281124528</v>
      </c>
      <c r="D7" s="4">
        <f>C7-C5</f>
        <v>4.71476742476995E-4</v>
      </c>
    </row>
    <row r="8" spans="1:4" x14ac:dyDescent="0.25">
      <c r="A8" s="3" t="s">
        <v>82</v>
      </c>
      <c r="B8" s="6">
        <v>30</v>
      </c>
      <c r="C8" s="4">
        <v>0.14524627388734501</v>
      </c>
      <c r="D8" s="4">
        <f>C8-C5</f>
        <v>5.7184695052940049E-3</v>
      </c>
    </row>
    <row r="9" spans="1:4" x14ac:dyDescent="0.25">
      <c r="A9" s="3" t="s">
        <v>81</v>
      </c>
      <c r="B9" s="6">
        <v>225</v>
      </c>
      <c r="C9" s="4">
        <v>0.121775628035108</v>
      </c>
      <c r="D9" s="4">
        <f>C9-C9</f>
        <v>0</v>
      </c>
    </row>
    <row r="10" spans="1:4" x14ac:dyDescent="0.25">
      <c r="A10" s="3" t="s">
        <v>81</v>
      </c>
      <c r="B10" s="6">
        <v>100</v>
      </c>
      <c r="C10" s="4">
        <v>0.12681905368272101</v>
      </c>
      <c r="D10" s="4">
        <f>C10-C9</f>
        <v>5.043425647613009E-3</v>
      </c>
    </row>
    <row r="11" spans="1:4" x14ac:dyDescent="0.25">
      <c r="A11" s="3" t="s">
        <v>81</v>
      </c>
      <c r="B11" s="6">
        <v>50</v>
      </c>
      <c r="C11" s="4">
        <v>0.12773800065091201</v>
      </c>
      <c r="D11" s="4">
        <f>C11-C9</f>
        <v>5.9623726158040125E-3</v>
      </c>
    </row>
    <row r="12" spans="1:4" x14ac:dyDescent="0.25">
      <c r="A12" s="3" t="s">
        <v>81</v>
      </c>
      <c r="B12" s="6">
        <v>30</v>
      </c>
      <c r="C12" s="4">
        <v>0.14843401545750501</v>
      </c>
      <c r="D12" s="4">
        <f>C12-C9</f>
        <v>2.6658387422397012E-2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20" customWidth="1"/>
    <col min="3" max="3" width="27" customWidth="1"/>
    <col min="4" max="4" width="21" customWidth="1"/>
    <col min="5" max="5" width="13" customWidth="1"/>
    <col min="6" max="6" width="36" customWidth="1"/>
  </cols>
  <sheetData>
    <row r="1" spans="1:6" x14ac:dyDescent="0.25">
      <c r="A1" s="7" t="s">
        <v>115</v>
      </c>
    </row>
    <row r="4" spans="1:6" x14ac:dyDescent="0.25">
      <c r="A4" s="2" t="s">
        <v>102</v>
      </c>
      <c r="B4" s="2" t="s">
        <v>40</v>
      </c>
      <c r="C4" s="2" t="s">
        <v>116</v>
      </c>
      <c r="D4" s="2" t="s">
        <v>117</v>
      </c>
      <c r="E4" s="2" t="s">
        <v>118</v>
      </c>
      <c r="F4" s="2" t="s">
        <v>119</v>
      </c>
    </row>
    <row r="5" spans="1:6" x14ac:dyDescent="0.25">
      <c r="A5" s="3" t="s">
        <v>99</v>
      </c>
      <c r="B5" s="4">
        <v>0.119281691026477</v>
      </c>
      <c r="C5" s="4">
        <v>0.14120885555594501</v>
      </c>
      <c r="D5" s="4">
        <v>5.0126970470826197E-2</v>
      </c>
      <c r="E5" s="14">
        <f t="shared" ref="E5:E11" si="0">IF(C5="","",RANK(C5,C$5:C$11,1))</f>
        <v>6</v>
      </c>
      <c r="F5" s="3" t="s">
        <v>120</v>
      </c>
    </row>
    <row r="6" spans="1:6" x14ac:dyDescent="0.25">
      <c r="A6" s="3" t="s">
        <v>121</v>
      </c>
      <c r="B6" s="4">
        <v>0.12306734305307</v>
      </c>
      <c r="C6" s="4">
        <v>0.12667126434011</v>
      </c>
      <c r="D6" s="4">
        <v>3.6807615620682098E-2</v>
      </c>
      <c r="E6" s="14">
        <f t="shared" si="0"/>
        <v>2</v>
      </c>
    </row>
    <row r="7" spans="1:6" x14ac:dyDescent="0.25">
      <c r="A7" s="3" t="s">
        <v>122</v>
      </c>
      <c r="B7" s="4">
        <v>0.124410860161978</v>
      </c>
      <c r="C7" s="4">
        <v>0.12585895749109399</v>
      </c>
      <c r="D7" s="4">
        <v>3.4794768474754302E-2</v>
      </c>
      <c r="E7" s="14">
        <f t="shared" si="0"/>
        <v>1</v>
      </c>
    </row>
    <row r="8" spans="1:6" x14ac:dyDescent="0.25">
      <c r="A8" s="3" t="s">
        <v>97</v>
      </c>
      <c r="B8" s="4">
        <v>0.12446523397468499</v>
      </c>
      <c r="C8" s="4">
        <v>0.138719799331984</v>
      </c>
      <c r="D8" s="4">
        <v>4.3354879900632803E-2</v>
      </c>
      <c r="E8" s="14">
        <f t="shared" si="0"/>
        <v>5</v>
      </c>
      <c r="F8" s="3" t="s">
        <v>123</v>
      </c>
    </row>
    <row r="9" spans="1:6" x14ac:dyDescent="0.25">
      <c r="A9" s="3" t="s">
        <v>124</v>
      </c>
      <c r="B9" s="4">
        <v>0.125193271508591</v>
      </c>
      <c r="E9" s="14" t="str">
        <f t="shared" si="0"/>
        <v/>
      </c>
      <c r="F9" s="3" t="s">
        <v>125</v>
      </c>
    </row>
    <row r="10" spans="1:6" x14ac:dyDescent="0.25">
      <c r="A10" s="3" t="s">
        <v>93</v>
      </c>
      <c r="B10" s="4">
        <v>0.13649170079723699</v>
      </c>
      <c r="C10" s="4">
        <v>0.126926807756786</v>
      </c>
      <c r="D10" s="4">
        <v>2.4123706604320699E-2</v>
      </c>
      <c r="E10" s="14">
        <f t="shared" si="0"/>
        <v>3</v>
      </c>
    </row>
    <row r="11" spans="1:6" x14ac:dyDescent="0.25">
      <c r="A11" s="3" t="s">
        <v>95</v>
      </c>
      <c r="B11" s="4">
        <v>0.14054362110503299</v>
      </c>
      <c r="C11" s="4">
        <v>0.12992815887511799</v>
      </c>
      <c r="D11" s="4">
        <v>2.1983170882507602E-2</v>
      </c>
      <c r="E11" s="14">
        <f t="shared" si="0"/>
        <v>4</v>
      </c>
    </row>
    <row r="13" spans="1:6" x14ac:dyDescent="0.25">
      <c r="A13" s="3" t="s">
        <v>126</v>
      </c>
      <c r="C13" s="4">
        <f>MIN(C5:C11)</f>
        <v>0.12585895749109399</v>
      </c>
    </row>
    <row r="14" spans="1:6" x14ac:dyDescent="0.25">
      <c r="A14" s="3" t="s">
        <v>127</v>
      </c>
      <c r="C14" s="4" t="str">
        <f>INDEX(A5:A11,MATCH(C13,C5:C11,0))</f>
        <v>Ensemble ENet/Ridge/GBR/HGB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"/>
  <sheetViews>
    <sheetView zoomScaleNormal="100" workbookViewId="0"/>
  </sheetViews>
  <sheetFormatPr defaultColWidth="8.7109375" defaultRowHeight="15" x14ac:dyDescent="0.25"/>
  <cols>
    <col min="1" max="1" width="88.140625" customWidth="1"/>
    <col min="2" max="2" width="60" customWidth="1"/>
    <col min="3" max="3" width="18" customWidth="1"/>
    <col min="4" max="4" width="17" customWidth="1"/>
    <col min="5" max="6" width="16" customWidth="1"/>
  </cols>
  <sheetData>
    <row r="1" spans="1:6" x14ac:dyDescent="0.25">
      <c r="A1" s="17" t="s">
        <v>179</v>
      </c>
    </row>
    <row r="3" spans="1:6" x14ac:dyDescent="0.25">
      <c r="A3" s="7" t="s">
        <v>128</v>
      </c>
    </row>
    <row r="4" spans="1:6" x14ac:dyDescent="0.25">
      <c r="A4" s="2" t="s">
        <v>129</v>
      </c>
      <c r="B4" s="2" t="s">
        <v>130</v>
      </c>
    </row>
    <row r="5" spans="1:6" x14ac:dyDescent="0.25">
      <c r="A5" s="3" t="s">
        <v>131</v>
      </c>
      <c r="B5" s="3" t="s">
        <v>132</v>
      </c>
    </row>
    <row r="6" spans="1:6" ht="25.5" x14ac:dyDescent="0.25">
      <c r="A6" s="3" t="s">
        <v>133</v>
      </c>
      <c r="B6" s="15" t="s">
        <v>134</v>
      </c>
    </row>
    <row r="7" spans="1:6" x14ac:dyDescent="0.25">
      <c r="A7" s="3" t="s">
        <v>135</v>
      </c>
      <c r="B7" s="3" t="s">
        <v>136</v>
      </c>
    </row>
    <row r="8" spans="1:6" x14ac:dyDescent="0.25">
      <c r="A8" s="3" t="s">
        <v>137</v>
      </c>
      <c r="B8" s="15" t="s">
        <v>138</v>
      </c>
    </row>
    <row r="9" spans="1:6" x14ac:dyDescent="0.25">
      <c r="A9" s="3" t="s">
        <v>139</v>
      </c>
      <c r="B9" s="3" t="s">
        <v>140</v>
      </c>
    </row>
    <row r="10" spans="1:6" x14ac:dyDescent="0.25">
      <c r="A10" s="3" t="s">
        <v>141</v>
      </c>
      <c r="B10" s="15" t="s">
        <v>142</v>
      </c>
    </row>
    <row r="13" spans="1:6" x14ac:dyDescent="0.25">
      <c r="A13" s="7" t="s">
        <v>143</v>
      </c>
    </row>
    <row r="14" spans="1:6" x14ac:dyDescent="0.25">
      <c r="A14" s="2" t="s">
        <v>144</v>
      </c>
      <c r="B14" s="2" t="s">
        <v>145</v>
      </c>
      <c r="C14" s="2" t="s">
        <v>146</v>
      </c>
      <c r="D14" s="2" t="s">
        <v>147</v>
      </c>
      <c r="E14" s="2" t="s">
        <v>148</v>
      </c>
      <c r="F14" s="2" t="s">
        <v>149</v>
      </c>
    </row>
    <row r="15" spans="1:6" x14ac:dyDescent="0.25">
      <c r="A15" s="6">
        <v>1</v>
      </c>
      <c r="B15" s="4">
        <v>0.44269999999999998</v>
      </c>
      <c r="C15" s="4">
        <v>0.1636</v>
      </c>
      <c r="D15" s="4">
        <v>0.1108</v>
      </c>
      <c r="E15" s="4">
        <v>0.85660000000000003</v>
      </c>
      <c r="F15" s="6">
        <v>1E-3</v>
      </c>
    </row>
    <row r="16" spans="1:6" x14ac:dyDescent="0.25">
      <c r="A16" s="6">
        <v>10</v>
      </c>
      <c r="B16" s="4">
        <v>6.8099999999999994E-2</v>
      </c>
      <c r="C16" s="4">
        <v>0.13730000000000001</v>
      </c>
      <c r="D16" s="4">
        <v>9.4500000000000001E-2</v>
      </c>
      <c r="E16" s="4">
        <v>0.89900000000000002</v>
      </c>
      <c r="F16" s="6">
        <v>1E-3</v>
      </c>
    </row>
    <row r="17" spans="1:6" x14ac:dyDescent="0.25">
      <c r="A17" s="6">
        <v>20</v>
      </c>
      <c r="B17" s="4">
        <v>4.0800000000000003E-2</v>
      </c>
      <c r="C17" s="4">
        <v>0.1318</v>
      </c>
      <c r="D17" s="4">
        <v>8.8999999999999996E-2</v>
      </c>
      <c r="E17" s="4">
        <v>0.90690000000000004</v>
      </c>
      <c r="F17" s="6">
        <v>5.0000000000000001E-4</v>
      </c>
    </row>
    <row r="18" spans="1:6" x14ac:dyDescent="0.25">
      <c r="A18" s="6">
        <v>30</v>
      </c>
      <c r="B18" s="4">
        <v>3.61E-2</v>
      </c>
      <c r="C18" s="4">
        <v>0.12520000000000001</v>
      </c>
      <c r="D18" s="4">
        <v>8.8900000000000007E-2</v>
      </c>
      <c r="E18" s="4">
        <v>0.91610000000000003</v>
      </c>
      <c r="F18" s="6">
        <v>5.0000000000000001E-4</v>
      </c>
    </row>
    <row r="19" spans="1:6" x14ac:dyDescent="0.25">
      <c r="A19" s="6">
        <v>40</v>
      </c>
      <c r="B19" s="4">
        <v>3.1600000000000003E-2</v>
      </c>
      <c r="C19" s="4">
        <v>0.12909999999999999</v>
      </c>
      <c r="D19" s="4">
        <v>9.0300000000000005E-2</v>
      </c>
      <c r="E19" s="4">
        <v>0.91069999999999995</v>
      </c>
      <c r="F19" s="6">
        <v>2.5000000000000001E-4</v>
      </c>
    </row>
    <row r="20" spans="1:6" x14ac:dyDescent="0.25">
      <c r="A20" s="6">
        <v>60</v>
      </c>
      <c r="B20" s="4">
        <v>2.6599999999999999E-2</v>
      </c>
      <c r="C20" s="4">
        <v>0.12770000000000001</v>
      </c>
      <c r="D20" s="4">
        <v>8.9200000000000002E-2</v>
      </c>
      <c r="E20" s="4">
        <v>0.91259999999999997</v>
      </c>
      <c r="F20" s="6">
        <v>6.3E-5</v>
      </c>
    </row>
    <row r="21" spans="1:6" x14ac:dyDescent="0.25">
      <c r="A21" s="6">
        <v>80</v>
      </c>
      <c r="B21" s="4">
        <v>2.4500000000000001E-2</v>
      </c>
      <c r="C21" s="4">
        <v>0.128</v>
      </c>
      <c r="D21" s="4">
        <v>8.9300000000000004E-2</v>
      </c>
      <c r="E21" s="4">
        <v>0.9123</v>
      </c>
      <c r="F21" s="6">
        <v>1.5999999999999999E-5</v>
      </c>
    </row>
    <row r="22" spans="1:6" x14ac:dyDescent="0.25">
      <c r="A22" s="6">
        <v>100</v>
      </c>
      <c r="B22" s="4">
        <v>2.41E-2</v>
      </c>
      <c r="C22" s="4">
        <v>0.12809999999999999</v>
      </c>
      <c r="D22" s="4">
        <v>9.01E-2</v>
      </c>
      <c r="E22" s="4">
        <v>0.91210000000000002</v>
      </c>
      <c r="F22" s="6">
        <v>1.0000000000000001E-5</v>
      </c>
    </row>
    <row r="23" spans="1:6" x14ac:dyDescent="0.25">
      <c r="A23" s="6">
        <v>120</v>
      </c>
      <c r="B23" s="4">
        <v>2.2499999999999999E-2</v>
      </c>
      <c r="C23" s="4">
        <v>0.12790000000000001</v>
      </c>
      <c r="D23" s="4">
        <v>9.0200000000000002E-2</v>
      </c>
      <c r="E23" s="4">
        <v>0.9123</v>
      </c>
      <c r="F23" s="6">
        <v>1.0000000000000001E-5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tabSelected="1" zoomScaleNormal="100" workbookViewId="0"/>
  </sheetViews>
  <sheetFormatPr defaultColWidth="8.7109375" defaultRowHeight="15" x14ac:dyDescent="0.25"/>
  <cols>
    <col min="1" max="1" width="55" customWidth="1"/>
    <col min="2" max="2" width="46" customWidth="1"/>
    <col min="3" max="3" width="47" customWidth="1"/>
    <col min="4" max="5" width="19" customWidth="1"/>
  </cols>
  <sheetData>
    <row r="1" spans="1:5" x14ac:dyDescent="0.25">
      <c r="A1" s="7" t="s">
        <v>150</v>
      </c>
    </row>
    <row r="3" spans="1:5" x14ac:dyDescent="0.25">
      <c r="A3" s="7" t="s">
        <v>151</v>
      </c>
    </row>
    <row r="4" spans="1:5" x14ac:dyDescent="0.25">
      <c r="A4" s="2" t="s">
        <v>78</v>
      </c>
      <c r="B4" s="2" t="s">
        <v>152</v>
      </c>
      <c r="C4" s="2" t="s">
        <v>153</v>
      </c>
      <c r="D4" s="2" t="s">
        <v>154</v>
      </c>
      <c r="E4" s="2" t="s">
        <v>155</v>
      </c>
    </row>
    <row r="5" spans="1:5" x14ac:dyDescent="0.25">
      <c r="A5" s="3" t="s">
        <v>156</v>
      </c>
      <c r="B5" s="4">
        <v>0.13950000000000001</v>
      </c>
      <c r="C5" s="4">
        <v>0.1386</v>
      </c>
      <c r="D5" s="4">
        <v>0.14000000000000001</v>
      </c>
      <c r="E5" s="4">
        <v>0.1452</v>
      </c>
    </row>
    <row r="6" spans="1:5" x14ac:dyDescent="0.25">
      <c r="A6" s="3" t="s">
        <v>157</v>
      </c>
      <c r="B6" s="4">
        <v>0.12180000000000001</v>
      </c>
      <c r="C6" s="4">
        <v>0.1268</v>
      </c>
      <c r="D6" s="4">
        <v>0.12770000000000001</v>
      </c>
      <c r="E6" s="4">
        <v>0.1484</v>
      </c>
    </row>
    <row r="7" spans="1:5" x14ac:dyDescent="0.25">
      <c r="A7" s="3" t="s">
        <v>158</v>
      </c>
      <c r="B7" s="4">
        <v>0.12520000000000001</v>
      </c>
      <c r="C7" s="4">
        <v>0.185</v>
      </c>
      <c r="D7" s="4">
        <v>0.35880000000000001</v>
      </c>
      <c r="E7" s="4">
        <v>0.53320000000000001</v>
      </c>
    </row>
    <row r="10" spans="1:5" x14ac:dyDescent="0.25">
      <c r="A10" s="7" t="s">
        <v>159</v>
      </c>
    </row>
    <row r="11" spans="1:5" x14ac:dyDescent="0.25">
      <c r="A11" s="2" t="s">
        <v>160</v>
      </c>
      <c r="B11" s="2" t="s">
        <v>161</v>
      </c>
      <c r="C11" s="2" t="s">
        <v>162</v>
      </c>
    </row>
    <row r="12" spans="1:5" x14ac:dyDescent="0.25">
      <c r="A12" s="3" t="s">
        <v>163</v>
      </c>
      <c r="B12" s="3" t="s">
        <v>164</v>
      </c>
      <c r="C12" s="3" t="s">
        <v>165</v>
      </c>
    </row>
    <row r="13" spans="1:5" x14ac:dyDescent="0.25">
      <c r="A13" s="3" t="s">
        <v>166</v>
      </c>
      <c r="B13" s="3" t="s">
        <v>167</v>
      </c>
      <c r="C13" s="3" t="s">
        <v>168</v>
      </c>
    </row>
    <row r="14" spans="1:5" x14ac:dyDescent="0.25">
      <c r="A14" s="3" t="s">
        <v>169</v>
      </c>
      <c r="B14" s="3" t="s">
        <v>170</v>
      </c>
      <c r="C14" s="3" t="s">
        <v>171</v>
      </c>
    </row>
    <row r="15" spans="1:5" x14ac:dyDescent="0.25">
      <c r="A15" s="3" t="s">
        <v>172</v>
      </c>
      <c r="B15" s="3" t="s">
        <v>173</v>
      </c>
      <c r="C15" s="3" t="s">
        <v>174</v>
      </c>
    </row>
    <row r="16" spans="1:5" x14ac:dyDescent="0.25">
      <c r="A16" s="3" t="s">
        <v>175</v>
      </c>
      <c r="B16" s="3" t="s">
        <v>176</v>
      </c>
      <c r="C16" s="3" t="s">
        <v>177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Baseline</vt:lpstr>
      <vt:lpstr>Ablation_and_Improvements</vt:lpstr>
      <vt:lpstr>Summary_Comparison</vt:lpstr>
      <vt:lpstr>Sklearn_vs_PyTorch</vt:lpstr>
      <vt:lpstr>Sklearn_Experiments</vt:lpstr>
      <vt:lpstr>B_Baseline</vt:lpstr>
      <vt:lpstr>B_Feature_Selection</vt:lpstr>
      <vt:lpstr>B_Tuning_and_CV</vt:lpstr>
      <vt:lpstr>PyTorch_MLP_Experiments</vt:lpstr>
      <vt:lpstr>Ablation_and_Insights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Khoa</cp:lastModifiedBy>
  <cp:revision>0</cp:revision>
  <dcterms:created xsi:type="dcterms:W3CDTF">2026-10-04T08:03:50Z</dcterms:created>
  <dcterms:modified xsi:type="dcterms:W3CDTF">2026-10-07T12:47:09Z</dcterms:modified>
  <dc:language>en-US</dc:language>
</cp:coreProperties>
</file>