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eep_learning\New folder\DL_BaiTap-DeTaiThucHanh_Nhom\Tuan4\diary\"/>
    </mc:Choice>
  </mc:AlternateContent>
  <xr:revisionPtr revIDLastSave="0" documentId="13_ncr:1_{CC44B5EC-F92E-4FB0-895A-ED31BAB386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aseline" sheetId="1" r:id="rId1"/>
    <sheet name="Feature_Selection" sheetId="2" r:id="rId2"/>
    <sheet name="Tuning_and_C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" l="1"/>
  <c r="C14" i="3"/>
  <c r="C13" i="3"/>
  <c r="E11" i="3"/>
  <c r="E10" i="3"/>
  <c r="E9" i="3"/>
  <c r="E8" i="3"/>
  <c r="E7" i="3"/>
  <c r="E6" i="3"/>
  <c r="E5" i="3"/>
  <c r="D12" i="2"/>
  <c r="D11" i="2"/>
  <c r="D10" i="2"/>
  <c r="D9" i="2"/>
  <c r="D8" i="2"/>
  <c r="D7" i="2"/>
  <c r="D6" i="2"/>
  <c r="D5" i="2"/>
  <c r="C14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<sst xmlns="http://schemas.openxmlformats.org/spreadsheetml/2006/main" count="55" uniqueCount="42">
  <si>
    <t>B1 - Baseline sklearn (225 dac trung)</t>
  </si>
  <si>
    <t>Nguon: output that cua 4_sklearn_models.ipynb / 5_improve_sklearn.ipynb (so xanh = nhap tu notebook, den = cong thuc). Split 80/20, random_state=42; RMSE tren log1p(SalePrice).</t>
  </si>
  <si>
    <t>Model</t>
  </si>
  <si>
    <t>So dac trung</t>
  </si>
  <si>
    <t>Val RMSE (log)</t>
  </si>
  <si>
    <t>Val MAE (log)</t>
  </si>
  <si>
    <t>Val R2</t>
  </si>
  <si>
    <t>Fit time (s)</t>
  </si>
  <si>
    <t>Hang (RMSE)</t>
  </si>
  <si>
    <t>Chenh lech vs tot nhat</t>
  </si>
  <si>
    <t>Lasso (alpha=0.001)</t>
  </si>
  <si>
    <t>ElasticNet (a=0.001,l1=0.5)</t>
  </si>
  <si>
    <t>Ridge (alpha=10)</t>
  </si>
  <si>
    <t>Linear Regression</t>
  </si>
  <si>
    <t>Gradient Boosting (500)</t>
  </si>
  <si>
    <t>HistGradientBoosting</t>
  </si>
  <si>
    <t>Random Forest (300)</t>
  </si>
  <si>
    <t>RMSE tot nhat</t>
  </si>
  <si>
    <t>Mo hinh tot nhat</t>
  </si>
  <si>
    <t>Ghi chu: xgboost/lightgbm chua cai trong moi truong chay -&gt; chua co trong bang.</t>
  </si>
  <si>
    <t>B2 - Chon dac trung Top-N</t>
  </si>
  <si>
    <t>So dac trung (Top-N theo GBR importance)</t>
  </si>
  <si>
    <t>Delta vs 225 (am = tot hon)</t>
  </si>
  <si>
    <t>B3 - Tuning (GridSearchCV / RandomizedSearchCV) va chon mo hinh cuoi</t>
  </si>
  <si>
    <t>Nguon: output that cua 4_sklearn_models.ipynb / 5_improve_sklearn.ipynb (so xanh = nhap tu notebook, den = cong thuc). Split 80/20, random_state=42; RMSE tren log1p(SalePrice). Mo hinh nop bai duoc chon theo CV5 vi Val chi co 292 dong, nhieu.</t>
  </si>
  <si>
    <t>CV5 RMSE (toan bo train)</t>
  </si>
  <si>
    <t>CV5 std</t>
  </si>
  <si>
    <t>Hang (CV5)</t>
  </si>
  <si>
    <t>Sieu tham so</t>
  </si>
  <si>
    <t>ElasticNet (tuned)</t>
  </si>
  <si>
    <t>{'alpha': 0.002, 'l1_ratio': 0.8}</t>
  </si>
  <si>
    <t>Ensemble 0.5 ENet + 0.5 GBR</t>
  </si>
  <si>
    <t>Ensemble ENet/Ridge/GBR/HGB</t>
  </si>
  <si>
    <t>Ridge (tuned)</t>
  </si>
  <si>
    <t>{'alpha': 300}</t>
  </si>
  <si>
    <t>Lasso (tuned)</t>
  </si>
  <si>
    <t>{'alpha': 0.005}</t>
  </si>
  <si>
    <t>Gradient Boosting (tuned)</t>
  </si>
  <si>
    <t>HistGB (tuned)</t>
  </si>
  <si>
    <t>CV5 tot nhat</t>
  </si>
  <si>
    <t>Mo hinh nop bai</t>
  </si>
  <si>
    <t>Kaggle Public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</si>
</sst>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164" fontId="5" fillId="0" borderId="0" xfId="0" applyNumberFormat="1" applyFont="1"/>
    <xf numFmtId="1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164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G14" sqref="G14"/>
    </sheetView>
  </sheetViews>
  <sheetFormatPr defaultColWidth="8.6640625" defaultRowHeight="14.4" x14ac:dyDescent="0.3"/>
  <cols>
    <col min="1" max="1" width="30" customWidth="1"/>
    <col min="2" max="2" width="12" customWidth="1"/>
    <col min="3" max="4" width="14" customWidth="1"/>
    <col min="5" max="5" width="10" customWidth="1"/>
    <col min="6" max="7" width="12" customWidth="1"/>
    <col min="8" max="8" width="18" customWidth="1"/>
  </cols>
  <sheetData>
    <row r="1" spans="1:8" ht="15.6" x14ac:dyDescent="0.3">
      <c r="A1" s="1" t="s">
        <v>0</v>
      </c>
    </row>
    <row r="2" spans="1:8" x14ac:dyDescent="0.3">
      <c r="A2" s="2" t="s">
        <v>1</v>
      </c>
    </row>
    <row r="4" spans="1:8" ht="2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">
      <c r="A5" s="4" t="s">
        <v>10</v>
      </c>
      <c r="B5" s="4">
        <v>225</v>
      </c>
      <c r="C5" s="5">
        <v>0.119428333866322</v>
      </c>
      <c r="D5" s="5">
        <v>8.4101595793345002E-2</v>
      </c>
      <c r="E5" s="5">
        <v>0.92356759353814399</v>
      </c>
      <c r="F5" s="5">
        <v>0.05</v>
      </c>
      <c r="G5" s="6">
        <f t="shared" ref="G5:G12" si="0">RANK(C5,C$5:C$11,1)</f>
        <v>1</v>
      </c>
      <c r="H5" s="7">
        <f t="shared" ref="H5:H12" si="1">C5-MIN(C$5:C$11)</f>
        <v>0</v>
      </c>
    </row>
    <row r="6" spans="1:8" x14ac:dyDescent="0.3">
      <c r="A6" s="4" t="s">
        <v>11</v>
      </c>
      <c r="B6" s="4">
        <v>225</v>
      </c>
      <c r="C6" s="5">
        <v>0.12061710038670399</v>
      </c>
      <c r="D6" s="5">
        <v>8.5257018611800003E-2</v>
      </c>
      <c r="E6" s="5">
        <v>0.92203843398667196</v>
      </c>
      <c r="F6" s="5">
        <v>7.0000000000000007E-2</v>
      </c>
      <c r="G6" s="6">
        <f t="shared" si="0"/>
        <v>2</v>
      </c>
      <c r="H6" s="7">
        <f t="shared" si="1"/>
        <v>1.1887665203819953E-3</v>
      </c>
    </row>
    <row r="7" spans="1:8" x14ac:dyDescent="0.3">
      <c r="A7" s="4" t="s">
        <v>12</v>
      </c>
      <c r="B7" s="4">
        <v>225</v>
      </c>
      <c r="C7" s="5">
        <v>0.121775628035108</v>
      </c>
      <c r="D7" s="5">
        <v>8.63748494914401E-2</v>
      </c>
      <c r="E7" s="5">
        <v>0.92053359935837797</v>
      </c>
      <c r="F7" s="5">
        <v>0.01</v>
      </c>
      <c r="G7" s="6">
        <f t="shared" si="0"/>
        <v>3</v>
      </c>
      <c r="H7" s="7">
        <f t="shared" si="1"/>
        <v>2.3472941687859988E-3</v>
      </c>
    </row>
    <row r="8" spans="1:8" x14ac:dyDescent="0.3">
      <c r="A8" s="4" t="s">
        <v>13</v>
      </c>
      <c r="B8" s="4">
        <v>225</v>
      </c>
      <c r="C8" s="5">
        <v>0.12203941886528</v>
      </c>
      <c r="D8" s="5">
        <v>8.6592278909389406E-2</v>
      </c>
      <c r="E8" s="5">
        <v>0.92018894562648201</v>
      </c>
      <c r="F8" s="5">
        <v>0.03</v>
      </c>
      <c r="G8" s="6">
        <f t="shared" si="0"/>
        <v>4</v>
      </c>
      <c r="H8" s="7">
        <f t="shared" si="1"/>
        <v>2.6110849989579993E-3</v>
      </c>
    </row>
    <row r="9" spans="1:8" x14ac:dyDescent="0.3">
      <c r="A9" s="4" t="s">
        <v>14</v>
      </c>
      <c r="B9" s="4">
        <v>225</v>
      </c>
      <c r="C9" s="5">
        <v>0.13952780438205101</v>
      </c>
      <c r="D9" s="5">
        <v>9.1298739060499207E-2</v>
      </c>
      <c r="E9" s="5">
        <v>0.89567598166177798</v>
      </c>
      <c r="F9" s="5">
        <v>3.99</v>
      </c>
      <c r="G9" s="6">
        <f t="shared" si="0"/>
        <v>5</v>
      </c>
      <c r="H9" s="7">
        <f t="shared" si="1"/>
        <v>2.0099470515729009E-2</v>
      </c>
    </row>
    <row r="10" spans="1:8" x14ac:dyDescent="0.3">
      <c r="A10" s="4" t="s">
        <v>15</v>
      </c>
      <c r="B10" s="4">
        <v>225</v>
      </c>
      <c r="C10" s="5">
        <v>0.14080260886208601</v>
      </c>
      <c r="D10" s="5">
        <v>9.2060017643049094E-2</v>
      </c>
      <c r="E10" s="5">
        <v>0.89376094723965804</v>
      </c>
      <c r="F10" s="5">
        <v>1.35</v>
      </c>
      <c r="G10" s="6">
        <f t="shared" si="0"/>
        <v>6</v>
      </c>
      <c r="H10" s="7">
        <f t="shared" si="1"/>
        <v>2.1374274995764012E-2</v>
      </c>
    </row>
    <row r="11" spans="1:8" x14ac:dyDescent="0.3">
      <c r="A11" s="4" t="s">
        <v>16</v>
      </c>
      <c r="B11" s="4">
        <v>225</v>
      </c>
      <c r="C11" s="5">
        <v>0.145789425402159</v>
      </c>
      <c r="D11" s="5">
        <v>9.43816557925726E-2</v>
      </c>
      <c r="E11" s="5">
        <v>0.88610233127321403</v>
      </c>
      <c r="F11" s="5">
        <v>2.37</v>
      </c>
      <c r="G11" s="6">
        <f t="shared" si="0"/>
        <v>7</v>
      </c>
      <c r="H11" s="7">
        <f t="shared" si="1"/>
        <v>2.6361091535837003E-2</v>
      </c>
    </row>
    <row r="13" spans="1:8" x14ac:dyDescent="0.3">
      <c r="A13" s="8" t="s">
        <v>17</v>
      </c>
      <c r="C13" s="9">
        <f>MIN(C5:C11)</f>
        <v>0.119428333866322</v>
      </c>
    </row>
    <row r="14" spans="1:8" x14ac:dyDescent="0.3">
      <c r="A14" s="8" t="s">
        <v>18</v>
      </c>
      <c r="C14" t="str">
        <f>INDEX(A5:A11,MATCH(C13,C5:C11,0))</f>
        <v>Lasso (alpha=0.001)</v>
      </c>
    </row>
    <row r="15" spans="1:8" x14ac:dyDescent="0.3">
      <c r="A15" s="11" t="s">
        <v>41</v>
      </c>
      <c r="C15">
        <v>0.12573000000000001</v>
      </c>
    </row>
    <row r="16" spans="1:8" x14ac:dyDescent="0.3">
      <c r="A16" s="10" t="s">
        <v>19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22" customWidth="1"/>
    <col min="3" max="3" width="14" customWidth="1"/>
    <col min="4" max="4" width="22" customWidth="1"/>
  </cols>
  <sheetData>
    <row r="1" spans="1:4" ht="15.6" x14ac:dyDescent="0.3">
      <c r="A1" s="1" t="s">
        <v>20</v>
      </c>
    </row>
    <row r="2" spans="1:4" x14ac:dyDescent="0.3">
      <c r="A2" s="2" t="s">
        <v>1</v>
      </c>
    </row>
    <row r="4" spans="1:4" ht="27" x14ac:dyDescent="0.3">
      <c r="A4" s="3" t="s">
        <v>2</v>
      </c>
      <c r="B4" s="3" t="s">
        <v>21</v>
      </c>
      <c r="C4" s="3" t="s">
        <v>4</v>
      </c>
      <c r="D4" s="3" t="s">
        <v>22</v>
      </c>
    </row>
    <row r="5" spans="1:4" x14ac:dyDescent="0.3">
      <c r="A5" s="4" t="s">
        <v>14</v>
      </c>
      <c r="B5" s="4">
        <v>225</v>
      </c>
      <c r="C5" s="5">
        <v>0.13952780438205101</v>
      </c>
      <c r="D5" s="7">
        <f>C5-C5</f>
        <v>0</v>
      </c>
    </row>
    <row r="6" spans="1:4" x14ac:dyDescent="0.3">
      <c r="A6" s="4" t="s">
        <v>14</v>
      </c>
      <c r="B6" s="4">
        <v>100</v>
      </c>
      <c r="C6" s="5">
        <v>0.13862076400036299</v>
      </c>
      <c r="D6" s="7">
        <f>C6-C5</f>
        <v>-9.0704038168801238E-4</v>
      </c>
    </row>
    <row r="7" spans="1:4" x14ac:dyDescent="0.3">
      <c r="A7" s="4" t="s">
        <v>14</v>
      </c>
      <c r="B7" s="4">
        <v>50</v>
      </c>
      <c r="C7" s="5">
        <v>0.139999281124528</v>
      </c>
      <c r="D7" s="7">
        <f>C7-C5</f>
        <v>4.71476742476995E-4</v>
      </c>
    </row>
    <row r="8" spans="1:4" x14ac:dyDescent="0.3">
      <c r="A8" s="4" t="s">
        <v>14</v>
      </c>
      <c r="B8" s="4">
        <v>30</v>
      </c>
      <c r="C8" s="5">
        <v>0.14524627388734501</v>
      </c>
      <c r="D8" s="7">
        <f>C8-C5</f>
        <v>5.7184695052940049E-3</v>
      </c>
    </row>
    <row r="9" spans="1:4" x14ac:dyDescent="0.3">
      <c r="A9" s="4" t="s">
        <v>12</v>
      </c>
      <c r="B9" s="4">
        <v>225</v>
      </c>
      <c r="C9" s="5">
        <v>0.121775628035108</v>
      </c>
      <c r="D9" s="7">
        <f>C9-C9</f>
        <v>0</v>
      </c>
    </row>
    <row r="10" spans="1:4" x14ac:dyDescent="0.3">
      <c r="A10" s="4" t="s">
        <v>12</v>
      </c>
      <c r="B10" s="4">
        <v>100</v>
      </c>
      <c r="C10" s="5">
        <v>0.12681905368272101</v>
      </c>
      <c r="D10" s="7">
        <f>C10-C9</f>
        <v>5.043425647613009E-3</v>
      </c>
    </row>
    <row r="11" spans="1:4" x14ac:dyDescent="0.3">
      <c r="A11" s="4" t="s">
        <v>12</v>
      </c>
      <c r="B11" s="4">
        <v>50</v>
      </c>
      <c r="C11" s="5">
        <v>0.12773800065091201</v>
      </c>
      <c r="D11" s="7">
        <f>C11-C9</f>
        <v>5.9623726158040125E-3</v>
      </c>
    </row>
    <row r="12" spans="1:4" x14ac:dyDescent="0.3">
      <c r="A12" s="4" t="s">
        <v>12</v>
      </c>
      <c r="B12" s="4">
        <v>30</v>
      </c>
      <c r="C12" s="5">
        <v>0.14843401545750501</v>
      </c>
      <c r="D12" s="7">
        <f>C12-C9</f>
        <v>2.6658387422397012E-2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22" customWidth="1"/>
    <col min="4" max="4" width="10" customWidth="1"/>
    <col min="5" max="5" width="12" customWidth="1"/>
    <col min="6" max="6" width="60" customWidth="1"/>
  </cols>
  <sheetData>
    <row r="1" spans="1:6" ht="15.6" x14ac:dyDescent="0.3">
      <c r="A1" s="1" t="s">
        <v>23</v>
      </c>
    </row>
    <row r="2" spans="1:6" x14ac:dyDescent="0.3">
      <c r="A2" s="2" t="s">
        <v>24</v>
      </c>
    </row>
    <row r="4" spans="1:6" ht="27" x14ac:dyDescent="0.3">
      <c r="A4" s="3" t="s">
        <v>2</v>
      </c>
      <c r="B4" s="3" t="s">
        <v>4</v>
      </c>
      <c r="C4" s="3" t="s">
        <v>25</v>
      </c>
      <c r="D4" s="3" t="s">
        <v>26</v>
      </c>
      <c r="E4" s="3" t="s">
        <v>27</v>
      </c>
      <c r="F4" s="3" t="s">
        <v>28</v>
      </c>
    </row>
    <row r="5" spans="1:6" x14ac:dyDescent="0.3">
      <c r="A5" s="4" t="s">
        <v>29</v>
      </c>
      <c r="B5" s="5">
        <v>0.119281691026477</v>
      </c>
      <c r="C5" s="5">
        <v>0.14120885555594501</v>
      </c>
      <c r="D5" s="5">
        <v>5.0126970470826197E-2</v>
      </c>
      <c r="E5" s="6">
        <f t="shared" ref="E5:E11" si="0">IF(C5="","",RANK(C5,C$5:C$11,1))</f>
        <v>6</v>
      </c>
      <c r="F5" s="4" t="s">
        <v>30</v>
      </c>
    </row>
    <row r="6" spans="1:6" x14ac:dyDescent="0.3">
      <c r="A6" s="4" t="s">
        <v>31</v>
      </c>
      <c r="B6" s="5">
        <v>0.12306734305307</v>
      </c>
      <c r="C6" s="5">
        <v>0.12667126434011</v>
      </c>
      <c r="D6" s="5">
        <v>3.6807615620682098E-2</v>
      </c>
      <c r="E6" s="6">
        <f t="shared" si="0"/>
        <v>2</v>
      </c>
      <c r="F6" s="4"/>
    </row>
    <row r="7" spans="1:6" x14ac:dyDescent="0.3">
      <c r="A7" s="4" t="s">
        <v>32</v>
      </c>
      <c r="B7" s="5">
        <v>0.124410860161978</v>
      </c>
      <c r="C7" s="5">
        <v>0.12585895749109399</v>
      </c>
      <c r="D7" s="5">
        <v>3.4794768474754302E-2</v>
      </c>
      <c r="E7" s="6">
        <f t="shared" si="0"/>
        <v>1</v>
      </c>
      <c r="F7" s="4"/>
    </row>
    <row r="8" spans="1:6" x14ac:dyDescent="0.3">
      <c r="A8" s="4" t="s">
        <v>33</v>
      </c>
      <c r="B8" s="5">
        <v>0.12446523397468499</v>
      </c>
      <c r="C8" s="5">
        <v>0.138719799331984</v>
      </c>
      <c r="D8" s="5">
        <v>4.3354879900632803E-2</v>
      </c>
      <c r="E8" s="6">
        <f t="shared" si="0"/>
        <v>5</v>
      </c>
      <c r="F8" s="4" t="s">
        <v>34</v>
      </c>
    </row>
    <row r="9" spans="1:6" x14ac:dyDescent="0.3">
      <c r="A9" s="4" t="s">
        <v>35</v>
      </c>
      <c r="B9" s="5">
        <v>0.125193271508591</v>
      </c>
      <c r="C9" s="4"/>
      <c r="D9" s="4"/>
      <c r="E9" s="6" t="str">
        <f t="shared" si="0"/>
        <v/>
      </c>
      <c r="F9" s="4" t="s">
        <v>36</v>
      </c>
    </row>
    <row r="10" spans="1:6" x14ac:dyDescent="0.3">
      <c r="A10" s="4" t="s">
        <v>37</v>
      </c>
      <c r="B10" s="5">
        <v>0.13649170079723699</v>
      </c>
      <c r="C10" s="5">
        <v>0.126926807756786</v>
      </c>
      <c r="D10" s="5">
        <v>2.4123706604320699E-2</v>
      </c>
      <c r="E10" s="6">
        <f t="shared" si="0"/>
        <v>3</v>
      </c>
      <c r="F10" s="4"/>
    </row>
    <row r="11" spans="1:6" x14ac:dyDescent="0.3">
      <c r="A11" s="4" t="s">
        <v>38</v>
      </c>
      <c r="B11" s="5">
        <v>0.14054362110503299</v>
      </c>
      <c r="C11" s="5">
        <v>0.12992815887511799</v>
      </c>
      <c r="D11" s="5">
        <v>2.1983170882507602E-2</v>
      </c>
      <c r="E11" s="6">
        <f t="shared" si="0"/>
        <v>4</v>
      </c>
      <c r="F11" s="4"/>
    </row>
    <row r="13" spans="1:6" x14ac:dyDescent="0.3">
      <c r="A13" s="8" t="s">
        <v>39</v>
      </c>
      <c r="C13" s="9">
        <f>MIN(C5:C11)</f>
        <v>0.12585895749109399</v>
      </c>
    </row>
    <row r="14" spans="1:6" x14ac:dyDescent="0.3">
      <c r="A14" s="8" t="s">
        <v>40</v>
      </c>
      <c r="C14" t="str">
        <f>INDEX(A5:A11,MATCH(C13,C5:C11,0))</f>
        <v>Ensemble ENet/Ridge/GBR/HGB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Feature_Selection</vt:lpstr>
      <vt:lpstr>Tuning_and_CV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Đức Tài</cp:lastModifiedBy>
  <cp:revision>0</cp:revision>
  <dcterms:created xsi:type="dcterms:W3CDTF">2026-10-06T08:12:34Z</dcterms:created>
  <dcterms:modified xsi:type="dcterms:W3CDTF">2026-10-06T08:48:47Z</dcterms:modified>
  <dc:language>en-US</dc:language>
</cp:coreProperties>
</file>